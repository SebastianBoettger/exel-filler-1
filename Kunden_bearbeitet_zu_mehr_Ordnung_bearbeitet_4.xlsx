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26_Hartmut Böttger Ingenieurbüro für Arbeitssicherheit\Neue Dateien\"/>
    </mc:Choice>
  </mc:AlternateContent>
  <xr:revisionPtr revIDLastSave="0" documentId="13_ncr:1_{EF38FB89-AF76-4F5C-A5B7-CF9933D17C2B}" xr6:coauthVersionLast="47" xr6:coauthVersionMax="47" xr10:uidLastSave="{00000000-0000-0000-0000-000000000000}"/>
  <bookViews>
    <workbookView xWindow="29055" yWindow="2235" windowWidth="27870" windowHeight="19335" activeTab="1" xr2:uid="{807E64E4-A4A0-4E7F-9D2D-1CACA4059361}"/>
  </bookViews>
  <sheets>
    <sheet name="Customers_0" sheetId="1" r:id="rId1"/>
    <sheet name="Customers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2" l="1"/>
  <c r="D11" i="2" s="1"/>
  <c r="C15" i="2"/>
  <c r="D15" i="2" s="1"/>
  <c r="C16" i="2"/>
  <c r="D16" i="2" s="1"/>
  <c r="C27" i="2"/>
  <c r="D27" i="2" s="1"/>
  <c r="C31" i="2"/>
  <c r="D31" i="2" s="1"/>
  <c r="C32" i="2"/>
  <c r="D32" i="2" s="1"/>
  <c r="C43" i="2"/>
  <c r="D43" i="2" s="1"/>
  <c r="C47" i="2"/>
  <c r="D47" i="2" s="1"/>
  <c r="C48" i="2"/>
  <c r="D48" i="2" s="1"/>
  <c r="C59" i="2"/>
  <c r="D59" i="2" s="1"/>
  <c r="C63" i="2"/>
  <c r="D63" i="2" s="1"/>
  <c r="C64" i="2"/>
  <c r="E64" i="2" s="1"/>
  <c r="C75" i="2"/>
  <c r="D75" i="2" s="1"/>
  <c r="C79" i="2"/>
  <c r="D79" i="2" s="1"/>
  <c r="C80" i="2"/>
  <c r="D80" i="2" s="1"/>
  <c r="C91" i="2"/>
  <c r="D91" i="2" s="1"/>
  <c r="C95" i="2"/>
  <c r="D95" i="2" s="1"/>
  <c r="C96" i="2"/>
  <c r="E96" i="2" s="1"/>
  <c r="C107" i="2"/>
  <c r="D107" i="2" s="1"/>
  <c r="C111" i="2"/>
  <c r="D111" i="2" s="1"/>
  <c r="C112" i="2"/>
  <c r="E112" i="2" s="1"/>
  <c r="C123" i="2"/>
  <c r="D123" i="2" s="1"/>
  <c r="C127" i="2"/>
  <c r="D127" i="2" s="1"/>
  <c r="C128" i="2"/>
  <c r="D128" i="2" s="1"/>
  <c r="C139" i="2"/>
  <c r="D139" i="2" s="1"/>
  <c r="C143" i="2"/>
  <c r="E143" i="2" s="1"/>
  <c r="C144" i="2"/>
  <c r="D144" i="2" s="1"/>
  <c r="C155" i="2"/>
  <c r="D155" i="2" s="1"/>
  <c r="C159" i="2"/>
  <c r="D159" i="2" s="1"/>
  <c r="C160" i="2"/>
  <c r="D160" i="2" s="1"/>
  <c r="C171" i="2"/>
  <c r="D171" i="2" s="1"/>
  <c r="C175" i="2"/>
  <c r="D175" i="2" s="1"/>
  <c r="C176" i="2"/>
  <c r="D176" i="2" s="1"/>
  <c r="C187" i="2"/>
  <c r="D187" i="2" s="1"/>
  <c r="C191" i="2"/>
  <c r="D191" i="2" s="1"/>
  <c r="C192" i="2"/>
  <c r="D192" i="2" s="1"/>
  <c r="C203" i="2"/>
  <c r="D203" i="2" s="1"/>
  <c r="C207" i="2"/>
  <c r="D207" i="2" s="1"/>
  <c r="C208" i="2"/>
  <c r="D208" i="2" s="1"/>
  <c r="C219" i="2"/>
  <c r="D219" i="2" s="1"/>
  <c r="C223" i="2"/>
  <c r="E223" i="2" s="1"/>
  <c r="C224" i="2"/>
  <c r="D224" i="2" s="1"/>
  <c r="C235" i="2"/>
  <c r="D235" i="2" s="1"/>
  <c r="C239" i="2"/>
  <c r="D239" i="2" s="1"/>
  <c r="C240" i="2"/>
  <c r="D240" i="2" s="1"/>
  <c r="C251" i="2"/>
  <c r="D251" i="2" s="1"/>
  <c r="C255" i="2"/>
  <c r="D255" i="2" s="1"/>
  <c r="C256" i="2"/>
  <c r="D256" i="2" s="1"/>
  <c r="C267" i="2"/>
  <c r="D267" i="2" s="1"/>
  <c r="C271" i="2"/>
  <c r="D271" i="2" s="1"/>
  <c r="C272" i="2"/>
  <c r="D272" i="2" s="1"/>
  <c r="C283" i="2"/>
  <c r="D283" i="2" s="1"/>
  <c r="C287" i="2"/>
  <c r="E287" i="2" s="1"/>
  <c r="C288" i="2"/>
  <c r="D288" i="2" s="1"/>
  <c r="C299" i="2"/>
  <c r="D299" i="2" s="1"/>
  <c r="C303" i="2"/>
  <c r="D303" i="2" s="1"/>
  <c r="C304" i="2"/>
  <c r="D304" i="2" s="1"/>
  <c r="C315" i="2"/>
  <c r="D315" i="2" s="1"/>
  <c r="C319" i="2"/>
  <c r="D319" i="2" s="1"/>
  <c r="C320" i="2"/>
  <c r="D320" i="2" s="1"/>
  <c r="C331" i="2"/>
  <c r="D331" i="2" s="1"/>
  <c r="C335" i="2"/>
  <c r="D335" i="2" s="1"/>
  <c r="C336" i="2"/>
  <c r="E336" i="2" s="1"/>
  <c r="C347" i="2"/>
  <c r="D347" i="2" s="1"/>
  <c r="C351" i="2"/>
  <c r="E351" i="2" s="1"/>
  <c r="C352" i="2"/>
  <c r="D352" i="2" s="1"/>
  <c r="C363" i="2"/>
  <c r="D363" i="2" s="1"/>
  <c r="C367" i="2"/>
  <c r="D367" i="2" s="1"/>
  <c r="C368" i="2"/>
  <c r="E368" i="2" s="1"/>
  <c r="C379" i="2"/>
  <c r="D379" i="2" s="1"/>
  <c r="C383" i="2"/>
  <c r="E383" i="2" s="1"/>
  <c r="C384" i="2"/>
  <c r="E384" i="2" s="1"/>
  <c r="C395" i="2"/>
  <c r="D395" i="2" s="1"/>
  <c r="C399" i="2"/>
  <c r="E399" i="2" s="1"/>
  <c r="C400" i="2"/>
  <c r="D400" i="2" s="1"/>
  <c r="C411" i="2"/>
  <c r="D411" i="2" s="1"/>
  <c r="C415" i="2"/>
  <c r="E415" i="2" s="1"/>
  <c r="C416" i="2"/>
  <c r="E416" i="2" s="1"/>
  <c r="C427" i="2"/>
  <c r="D427" i="2" s="1"/>
  <c r="C431" i="2"/>
  <c r="E431" i="2" s="1"/>
  <c r="C432" i="2"/>
  <c r="D432" i="2" s="1"/>
  <c r="C443" i="2"/>
  <c r="D443" i="2" s="1"/>
  <c r="C447" i="2"/>
  <c r="D447" i="2" s="1"/>
  <c r="C448" i="2"/>
  <c r="D448" i="2" s="1"/>
  <c r="C459" i="2"/>
  <c r="D459" i="2" s="1"/>
  <c r="C463" i="2"/>
  <c r="D463" i="2" s="1"/>
  <c r="C464" i="2"/>
  <c r="D464" i="2" s="1"/>
  <c r="C475" i="2"/>
  <c r="D475" i="2" s="1"/>
  <c r="E27" i="2"/>
  <c r="E267" i="2"/>
  <c r="B2" i="2"/>
  <c r="C2" i="2" s="1"/>
  <c r="D2" i="2" s="1"/>
  <c r="B3" i="2"/>
  <c r="C3" i="2" s="1"/>
  <c r="D3" i="2" s="1"/>
  <c r="B4" i="2"/>
  <c r="C4" i="2" s="1"/>
  <c r="D4" i="2" s="1"/>
  <c r="E4" i="2" s="1"/>
  <c r="B5" i="2"/>
  <c r="C5" i="2" s="1"/>
  <c r="D5" i="2" s="1"/>
  <c r="E5" i="2" s="1"/>
  <c r="B6" i="2"/>
  <c r="C6" i="2" s="1"/>
  <c r="D6" i="2" s="1"/>
  <c r="B7" i="2"/>
  <c r="C7" i="2" s="1"/>
  <c r="B8" i="2"/>
  <c r="C8" i="2" s="1"/>
  <c r="D8" i="2" s="1"/>
  <c r="B9" i="2"/>
  <c r="C9" i="2" s="1"/>
  <c r="B10" i="2"/>
  <c r="C10" i="2" s="1"/>
  <c r="D10" i="2" s="1"/>
  <c r="E10" i="2" s="1"/>
  <c r="B11" i="2"/>
  <c r="B12" i="2"/>
  <c r="C12" i="2" s="1"/>
  <c r="D12" i="2" s="1"/>
  <c r="B13" i="2"/>
  <c r="C13" i="2" s="1"/>
  <c r="D13" i="2" s="1"/>
  <c r="B14" i="2"/>
  <c r="C14" i="2" s="1"/>
  <c r="D14" i="2" s="1"/>
  <c r="B15" i="2"/>
  <c r="B16" i="2"/>
  <c r="B17" i="2"/>
  <c r="C17" i="2" s="1"/>
  <c r="D17" i="2" s="1"/>
  <c r="B18" i="2"/>
  <c r="C18" i="2" s="1"/>
  <c r="D18" i="2" s="1"/>
  <c r="E18" i="2" s="1"/>
  <c r="B19" i="2"/>
  <c r="C19" i="2" s="1"/>
  <c r="D19" i="2" s="1"/>
  <c r="E19" i="2" s="1"/>
  <c r="B20" i="2"/>
  <c r="C20" i="2" s="1"/>
  <c r="D20" i="2" s="1"/>
  <c r="B21" i="2"/>
  <c r="C21" i="2" s="1"/>
  <c r="D21" i="2" s="1"/>
  <c r="E21" i="2" s="1"/>
  <c r="B22" i="2"/>
  <c r="C22" i="2" s="1"/>
  <c r="D22" i="2" s="1"/>
  <c r="B23" i="2"/>
  <c r="C23" i="2" s="1"/>
  <c r="B24" i="2"/>
  <c r="C24" i="2" s="1"/>
  <c r="D24" i="2" s="1"/>
  <c r="B25" i="2"/>
  <c r="C25" i="2" s="1"/>
  <c r="B26" i="2"/>
  <c r="C26" i="2" s="1"/>
  <c r="D26" i="2" s="1"/>
  <c r="B27" i="2"/>
  <c r="B28" i="2"/>
  <c r="C28" i="2" s="1"/>
  <c r="D28" i="2" s="1"/>
  <c r="E28" i="2" s="1"/>
  <c r="B29" i="2"/>
  <c r="C29" i="2" s="1"/>
  <c r="D29" i="2" s="1"/>
  <c r="E29" i="2" s="1"/>
  <c r="B30" i="2"/>
  <c r="C30" i="2" s="1"/>
  <c r="D30" i="2" s="1"/>
  <c r="E30" i="2" s="1"/>
  <c r="B31" i="2"/>
  <c r="B32" i="2"/>
  <c r="B33" i="2"/>
  <c r="C33" i="2" s="1"/>
  <c r="D33" i="2" s="1"/>
  <c r="B34" i="2"/>
  <c r="C34" i="2" s="1"/>
  <c r="D34" i="2" s="1"/>
  <c r="E34" i="2" s="1"/>
  <c r="B35" i="2"/>
  <c r="C35" i="2" s="1"/>
  <c r="D35" i="2" s="1"/>
  <c r="E35" i="2" s="1"/>
  <c r="B36" i="2"/>
  <c r="C36" i="2" s="1"/>
  <c r="B37" i="2"/>
  <c r="C37" i="2" s="1"/>
  <c r="D37" i="2" s="1"/>
  <c r="E37" i="2" s="1"/>
  <c r="B38" i="2"/>
  <c r="C38" i="2" s="1"/>
  <c r="B39" i="2"/>
  <c r="C39" i="2" s="1"/>
  <c r="B40" i="2"/>
  <c r="C40" i="2" s="1"/>
  <c r="D40" i="2" s="1"/>
  <c r="B41" i="2"/>
  <c r="C41" i="2" s="1"/>
  <c r="B42" i="2"/>
  <c r="C42" i="2" s="1"/>
  <c r="B43" i="2"/>
  <c r="B44" i="2"/>
  <c r="C44" i="2" s="1"/>
  <c r="D44" i="2" s="1"/>
  <c r="B45" i="2"/>
  <c r="C45" i="2" s="1"/>
  <c r="D45" i="2" s="1"/>
  <c r="E45" i="2" s="1"/>
  <c r="B46" i="2"/>
  <c r="C46" i="2" s="1"/>
  <c r="B47" i="2"/>
  <c r="B48" i="2"/>
  <c r="B49" i="2"/>
  <c r="C49" i="2" s="1"/>
  <c r="D49" i="2" s="1"/>
  <c r="B50" i="2"/>
  <c r="C50" i="2" s="1"/>
  <c r="D50" i="2" s="1"/>
  <c r="B51" i="2"/>
  <c r="C51" i="2" s="1"/>
  <c r="D51" i="2" s="1"/>
  <c r="B52" i="2"/>
  <c r="C52" i="2" s="1"/>
  <c r="D52" i="2" s="1"/>
  <c r="E52" i="2" s="1"/>
  <c r="B53" i="2"/>
  <c r="C53" i="2" s="1"/>
  <c r="D53" i="2" s="1"/>
  <c r="E53" i="2" s="1"/>
  <c r="B54" i="2"/>
  <c r="C54" i="2" s="1"/>
  <c r="D54" i="2" s="1"/>
  <c r="B55" i="2"/>
  <c r="C55" i="2" s="1"/>
  <c r="D55" i="2" s="1"/>
  <c r="E55" i="2" s="1"/>
  <c r="B56" i="2"/>
  <c r="C56" i="2" s="1"/>
  <c r="D56" i="2" s="1"/>
  <c r="B57" i="2"/>
  <c r="C57" i="2" s="1"/>
  <c r="B58" i="2"/>
  <c r="C58" i="2" s="1"/>
  <c r="D58" i="2" s="1"/>
  <c r="B59" i="2"/>
  <c r="B60" i="2"/>
  <c r="C60" i="2" s="1"/>
  <c r="D60" i="2" s="1"/>
  <c r="B61" i="2"/>
  <c r="C61" i="2" s="1"/>
  <c r="D61" i="2" s="1"/>
  <c r="E61" i="2" s="1"/>
  <c r="B62" i="2"/>
  <c r="C62" i="2" s="1"/>
  <c r="D62" i="2" s="1"/>
  <c r="B63" i="2"/>
  <c r="B64" i="2"/>
  <c r="B65" i="2"/>
  <c r="C65" i="2" s="1"/>
  <c r="D65" i="2" s="1"/>
  <c r="E65" i="2" s="1"/>
  <c r="B66" i="2"/>
  <c r="C66" i="2" s="1"/>
  <c r="D66" i="2" s="1"/>
  <c r="E66" i="2" s="1"/>
  <c r="B67" i="2"/>
  <c r="C67" i="2" s="1"/>
  <c r="D67" i="2" s="1"/>
  <c r="B68" i="2"/>
  <c r="C68" i="2" s="1"/>
  <c r="B69" i="2"/>
  <c r="C69" i="2" s="1"/>
  <c r="D69" i="2" s="1"/>
  <c r="E69" i="2" s="1"/>
  <c r="B70" i="2"/>
  <c r="C70" i="2" s="1"/>
  <c r="B71" i="2"/>
  <c r="C71" i="2" s="1"/>
  <c r="B72" i="2"/>
  <c r="C72" i="2" s="1"/>
  <c r="D72" i="2" s="1"/>
  <c r="B73" i="2"/>
  <c r="C73" i="2" s="1"/>
  <c r="D73" i="2" s="1"/>
  <c r="B74" i="2"/>
  <c r="C74" i="2" s="1"/>
  <c r="B75" i="2"/>
  <c r="B76" i="2"/>
  <c r="C76" i="2" s="1"/>
  <c r="D76" i="2" s="1"/>
  <c r="B77" i="2"/>
  <c r="C77" i="2" s="1"/>
  <c r="D77" i="2" s="1"/>
  <c r="E77" i="2" s="1"/>
  <c r="B78" i="2"/>
  <c r="C78" i="2" s="1"/>
  <c r="D78" i="2" s="1"/>
  <c r="E78" i="2" s="1"/>
  <c r="B79" i="2"/>
  <c r="B80" i="2"/>
  <c r="B81" i="2"/>
  <c r="C81" i="2" s="1"/>
  <c r="D81" i="2" s="1"/>
  <c r="B82" i="2"/>
  <c r="C82" i="2" s="1"/>
  <c r="B83" i="2"/>
  <c r="C83" i="2" s="1"/>
  <c r="B84" i="2"/>
  <c r="C84" i="2" s="1"/>
  <c r="D84" i="2" s="1"/>
  <c r="E84" i="2" s="1"/>
  <c r="B85" i="2"/>
  <c r="C85" i="2" s="1"/>
  <c r="D85" i="2" s="1"/>
  <c r="E85" i="2" s="1"/>
  <c r="B86" i="2"/>
  <c r="C86" i="2" s="1"/>
  <c r="D86" i="2" s="1"/>
  <c r="B87" i="2"/>
  <c r="C87" i="2" s="1"/>
  <c r="D87" i="2" s="1"/>
  <c r="E87" i="2" s="1"/>
  <c r="B88" i="2"/>
  <c r="C88" i="2" s="1"/>
  <c r="D88" i="2" s="1"/>
  <c r="B89" i="2"/>
  <c r="C89" i="2" s="1"/>
  <c r="D89" i="2" s="1"/>
  <c r="B90" i="2"/>
  <c r="C90" i="2" s="1"/>
  <c r="D90" i="2" s="1"/>
  <c r="E90" i="2" s="1"/>
  <c r="B91" i="2"/>
  <c r="B92" i="2"/>
  <c r="C92" i="2" s="1"/>
  <c r="D92" i="2" s="1"/>
  <c r="B93" i="2"/>
  <c r="C93" i="2" s="1"/>
  <c r="B94" i="2"/>
  <c r="C94" i="2" s="1"/>
  <c r="D94" i="2" s="1"/>
  <c r="B95" i="2"/>
  <c r="B96" i="2"/>
  <c r="B97" i="2"/>
  <c r="C97" i="2" s="1"/>
  <c r="B98" i="2"/>
  <c r="C98" i="2" s="1"/>
  <c r="D98" i="2" s="1"/>
  <c r="E98" i="2" s="1"/>
  <c r="B99" i="2"/>
  <c r="C99" i="2" s="1"/>
  <c r="D99" i="2" s="1"/>
  <c r="E99" i="2" s="1"/>
  <c r="B100" i="2"/>
  <c r="C100" i="2" s="1"/>
  <c r="D100" i="2" s="1"/>
  <c r="E100" i="2" s="1"/>
  <c r="B101" i="2"/>
  <c r="C101" i="2" s="1"/>
  <c r="D101" i="2" s="1"/>
  <c r="E101" i="2" s="1"/>
  <c r="B102" i="2"/>
  <c r="C102" i="2" s="1"/>
  <c r="D102" i="2" s="1"/>
  <c r="B103" i="2"/>
  <c r="C103" i="2" s="1"/>
  <c r="B104" i="2"/>
  <c r="C104" i="2" s="1"/>
  <c r="D104" i="2" s="1"/>
  <c r="B105" i="2"/>
  <c r="C105" i="2" s="1"/>
  <c r="D105" i="2" s="1"/>
  <c r="B106" i="2"/>
  <c r="C106" i="2" s="1"/>
  <c r="D106" i="2" s="1"/>
  <c r="E106" i="2" s="1"/>
  <c r="B107" i="2"/>
  <c r="B108" i="2"/>
  <c r="C108" i="2" s="1"/>
  <c r="D108" i="2" s="1"/>
  <c r="E108" i="2" s="1"/>
  <c r="B109" i="2"/>
  <c r="C109" i="2" s="1"/>
  <c r="B110" i="2"/>
  <c r="C110" i="2" s="1"/>
  <c r="B111" i="2"/>
  <c r="B112" i="2"/>
  <c r="B113" i="2"/>
  <c r="C113" i="2" s="1"/>
  <c r="D113" i="2" s="1"/>
  <c r="B114" i="2"/>
  <c r="C114" i="2" s="1"/>
  <c r="D114" i="2" s="1"/>
  <c r="B115" i="2"/>
  <c r="C115" i="2" s="1"/>
  <c r="D115" i="2" s="1"/>
  <c r="E115" i="2" s="1"/>
  <c r="B116" i="2"/>
  <c r="C116" i="2" s="1"/>
  <c r="D116" i="2" s="1"/>
  <c r="E116" i="2" s="1"/>
  <c r="B117" i="2"/>
  <c r="C117" i="2" s="1"/>
  <c r="D117" i="2" s="1"/>
  <c r="E117" i="2" s="1"/>
  <c r="B118" i="2"/>
  <c r="C118" i="2" s="1"/>
  <c r="B119" i="2"/>
  <c r="C119" i="2" s="1"/>
  <c r="D119" i="2" s="1"/>
  <c r="E119" i="2" s="1"/>
  <c r="B120" i="2"/>
  <c r="C120" i="2" s="1"/>
  <c r="B121" i="2"/>
  <c r="C121" i="2" s="1"/>
  <c r="D121" i="2" s="1"/>
  <c r="B122" i="2"/>
  <c r="C122" i="2" s="1"/>
  <c r="D122" i="2" s="1"/>
  <c r="B123" i="2"/>
  <c r="B124" i="2"/>
  <c r="C124" i="2" s="1"/>
  <c r="D124" i="2" s="1"/>
  <c r="B125" i="2"/>
  <c r="C125" i="2" s="1"/>
  <c r="B126" i="2"/>
  <c r="C126" i="2" s="1"/>
  <c r="D126" i="2" s="1"/>
  <c r="B127" i="2"/>
  <c r="B128" i="2"/>
  <c r="B129" i="2"/>
  <c r="C129" i="2" s="1"/>
  <c r="D129" i="2" s="1"/>
  <c r="B130" i="2"/>
  <c r="C130" i="2" s="1"/>
  <c r="D130" i="2" s="1"/>
  <c r="E130" i="2" s="1"/>
  <c r="B131" i="2"/>
  <c r="C131" i="2" s="1"/>
  <c r="D131" i="2" s="1"/>
  <c r="B132" i="2"/>
  <c r="C132" i="2" s="1"/>
  <c r="D132" i="2" s="1"/>
  <c r="E132" i="2" s="1"/>
  <c r="B133" i="2"/>
  <c r="C133" i="2" s="1"/>
  <c r="D133" i="2" s="1"/>
  <c r="E133" i="2" s="1"/>
  <c r="B134" i="2"/>
  <c r="C134" i="2" s="1"/>
  <c r="D134" i="2" s="1"/>
  <c r="B135" i="2"/>
  <c r="C135" i="2" s="1"/>
  <c r="D135" i="2" s="1"/>
  <c r="E135" i="2" s="1"/>
  <c r="B136" i="2"/>
  <c r="C136" i="2" s="1"/>
  <c r="B137" i="2"/>
  <c r="C137" i="2" s="1"/>
  <c r="B138" i="2"/>
  <c r="C138" i="2" s="1"/>
  <c r="D138" i="2" s="1"/>
  <c r="B139" i="2"/>
  <c r="B140" i="2"/>
  <c r="C140" i="2" s="1"/>
  <c r="D140" i="2" s="1"/>
  <c r="B141" i="2"/>
  <c r="C141" i="2" s="1"/>
  <c r="B142" i="2"/>
  <c r="C142" i="2" s="1"/>
  <c r="D142" i="2" s="1"/>
  <c r="E142" i="2" s="1"/>
  <c r="B143" i="2"/>
  <c r="B144" i="2"/>
  <c r="B145" i="2"/>
  <c r="C145" i="2" s="1"/>
  <c r="D145" i="2" s="1"/>
  <c r="E145" i="2" s="1"/>
  <c r="B146" i="2"/>
  <c r="C146" i="2" s="1"/>
  <c r="D146" i="2" s="1"/>
  <c r="E146" i="2" s="1"/>
  <c r="B147" i="2"/>
  <c r="C147" i="2" s="1"/>
  <c r="D147" i="2" s="1"/>
  <c r="E147" i="2" s="1"/>
  <c r="B148" i="2"/>
  <c r="C148" i="2" s="1"/>
  <c r="D148" i="2" s="1"/>
  <c r="E148" i="2" s="1"/>
  <c r="B149" i="2"/>
  <c r="C149" i="2" s="1"/>
  <c r="D149" i="2" s="1"/>
  <c r="B150" i="2"/>
  <c r="C150" i="2" s="1"/>
  <c r="D150" i="2" s="1"/>
  <c r="B151" i="2"/>
  <c r="C151" i="2" s="1"/>
  <c r="B152" i="2"/>
  <c r="C152" i="2" s="1"/>
  <c r="B153" i="2"/>
  <c r="C153" i="2" s="1"/>
  <c r="D153" i="2" s="1"/>
  <c r="B154" i="2"/>
  <c r="C154" i="2" s="1"/>
  <c r="D154" i="2" s="1"/>
  <c r="B155" i="2"/>
  <c r="B156" i="2"/>
  <c r="C156" i="2" s="1"/>
  <c r="D156" i="2" s="1"/>
  <c r="B157" i="2"/>
  <c r="C157" i="2" s="1"/>
  <c r="D157" i="2" s="1"/>
  <c r="B158" i="2"/>
  <c r="C158" i="2" s="1"/>
  <c r="D158" i="2" s="1"/>
  <c r="E158" i="2" s="1"/>
  <c r="B159" i="2"/>
  <c r="B160" i="2"/>
  <c r="B161" i="2"/>
  <c r="C161" i="2" s="1"/>
  <c r="D161" i="2" s="1"/>
  <c r="E161" i="2" s="1"/>
  <c r="B162" i="2"/>
  <c r="C162" i="2" s="1"/>
  <c r="D162" i="2" s="1"/>
  <c r="E162" i="2" s="1"/>
  <c r="B163" i="2"/>
  <c r="C163" i="2" s="1"/>
  <c r="D163" i="2" s="1"/>
  <c r="B164" i="2"/>
  <c r="C164" i="2" s="1"/>
  <c r="D164" i="2" s="1"/>
  <c r="B165" i="2"/>
  <c r="C165" i="2" s="1"/>
  <c r="D165" i="2" s="1"/>
  <c r="E165" i="2" s="1"/>
  <c r="B166" i="2"/>
  <c r="C166" i="2" s="1"/>
  <c r="E166" i="2" s="1"/>
  <c r="B167" i="2"/>
  <c r="C167" i="2" s="1"/>
  <c r="D167" i="2" s="1"/>
  <c r="E167" i="2" s="1"/>
  <c r="B168" i="2"/>
  <c r="C168" i="2" s="1"/>
  <c r="B169" i="2"/>
  <c r="C169" i="2" s="1"/>
  <c r="B170" i="2"/>
  <c r="C170" i="2" s="1"/>
  <c r="D170" i="2" s="1"/>
  <c r="E170" i="2" s="1"/>
  <c r="B171" i="2"/>
  <c r="B172" i="2"/>
  <c r="C172" i="2" s="1"/>
  <c r="D172" i="2" s="1"/>
  <c r="E172" i="2" s="1"/>
  <c r="B173" i="2"/>
  <c r="C173" i="2" s="1"/>
  <c r="D173" i="2" s="1"/>
  <c r="E173" i="2" s="1"/>
  <c r="B174" i="2"/>
  <c r="C174" i="2" s="1"/>
  <c r="D174" i="2" s="1"/>
  <c r="E174" i="2" s="1"/>
  <c r="B175" i="2"/>
  <c r="B176" i="2"/>
  <c r="B177" i="2"/>
  <c r="C177" i="2" s="1"/>
  <c r="D177" i="2" s="1"/>
  <c r="E177" i="2" s="1"/>
  <c r="B178" i="2"/>
  <c r="C178" i="2" s="1"/>
  <c r="D178" i="2" s="1"/>
  <c r="B179" i="2"/>
  <c r="C179" i="2" s="1"/>
  <c r="D179" i="2" s="1"/>
  <c r="B180" i="2"/>
  <c r="C180" i="2" s="1"/>
  <c r="D180" i="2" s="1"/>
  <c r="E180" i="2" s="1"/>
  <c r="B181" i="2"/>
  <c r="C181" i="2" s="1"/>
  <c r="D181" i="2" s="1"/>
  <c r="E181" i="2" s="1"/>
  <c r="B182" i="2"/>
  <c r="C182" i="2" s="1"/>
  <c r="D182" i="2" s="1"/>
  <c r="B183" i="2"/>
  <c r="C183" i="2" s="1"/>
  <c r="D183" i="2" s="1"/>
  <c r="E183" i="2" s="1"/>
  <c r="B184" i="2"/>
  <c r="C184" i="2" s="1"/>
  <c r="D184" i="2" s="1"/>
  <c r="B185" i="2"/>
  <c r="C185" i="2" s="1"/>
  <c r="D185" i="2" s="1"/>
  <c r="B186" i="2"/>
  <c r="C186" i="2" s="1"/>
  <c r="B187" i="2"/>
  <c r="B188" i="2"/>
  <c r="C188" i="2" s="1"/>
  <c r="D188" i="2" s="1"/>
  <c r="B189" i="2"/>
  <c r="C189" i="2" s="1"/>
  <c r="D189" i="2" s="1"/>
  <c r="B190" i="2"/>
  <c r="C190" i="2" s="1"/>
  <c r="B191" i="2"/>
  <c r="B192" i="2"/>
  <c r="B193" i="2"/>
  <c r="C193" i="2" s="1"/>
  <c r="D193" i="2" s="1"/>
  <c r="B194" i="2"/>
  <c r="C194" i="2" s="1"/>
  <c r="D194" i="2" s="1"/>
  <c r="E194" i="2" s="1"/>
  <c r="B195" i="2"/>
  <c r="C195" i="2" s="1"/>
  <c r="D195" i="2" s="1"/>
  <c r="B196" i="2"/>
  <c r="C196" i="2" s="1"/>
  <c r="D196" i="2" s="1"/>
  <c r="E196" i="2" s="1"/>
  <c r="B197" i="2"/>
  <c r="C197" i="2" s="1"/>
  <c r="D197" i="2" s="1"/>
  <c r="E197" i="2" s="1"/>
  <c r="B198" i="2"/>
  <c r="C198" i="2" s="1"/>
  <c r="B199" i="2"/>
  <c r="C199" i="2" s="1"/>
  <c r="B200" i="2"/>
  <c r="C200" i="2" s="1"/>
  <c r="D200" i="2" s="1"/>
  <c r="B201" i="2"/>
  <c r="C201" i="2" s="1"/>
  <c r="D201" i="2" s="1"/>
  <c r="B202" i="2"/>
  <c r="C202" i="2" s="1"/>
  <c r="D202" i="2" s="1"/>
  <c r="B203" i="2"/>
  <c r="B204" i="2"/>
  <c r="C204" i="2" s="1"/>
  <c r="D204" i="2" s="1"/>
  <c r="E204" i="2" s="1"/>
  <c r="B205" i="2"/>
  <c r="C205" i="2" s="1"/>
  <c r="B206" i="2"/>
  <c r="C206" i="2" s="1"/>
  <c r="D206" i="2" s="1"/>
  <c r="B207" i="2"/>
  <c r="B208" i="2"/>
  <c r="B209" i="2"/>
  <c r="C209" i="2" s="1"/>
  <c r="D209" i="2" s="1"/>
  <c r="E209" i="2" s="1"/>
  <c r="B210" i="2"/>
  <c r="C210" i="2" s="1"/>
  <c r="D210" i="2" s="1"/>
  <c r="B211" i="2"/>
  <c r="C211" i="2" s="1"/>
  <c r="D211" i="2" s="1"/>
  <c r="B212" i="2"/>
  <c r="C212" i="2" s="1"/>
  <c r="D212" i="2" s="1"/>
  <c r="E212" i="2" s="1"/>
  <c r="B213" i="2"/>
  <c r="C213" i="2" s="1"/>
  <c r="D213" i="2" s="1"/>
  <c r="E213" i="2" s="1"/>
  <c r="B214" i="2"/>
  <c r="C214" i="2" s="1"/>
  <c r="D214" i="2" s="1"/>
  <c r="B215" i="2"/>
  <c r="C215" i="2" s="1"/>
  <c r="D215" i="2" s="1"/>
  <c r="B216" i="2"/>
  <c r="C216" i="2" s="1"/>
  <c r="B217" i="2"/>
  <c r="C217" i="2" s="1"/>
  <c r="D217" i="2" s="1"/>
  <c r="B218" i="2"/>
  <c r="C218" i="2" s="1"/>
  <c r="D218" i="2" s="1"/>
  <c r="B219" i="2"/>
  <c r="B220" i="2"/>
  <c r="C220" i="2" s="1"/>
  <c r="B221" i="2"/>
  <c r="C221" i="2" s="1"/>
  <c r="B222" i="2"/>
  <c r="C222" i="2" s="1"/>
  <c r="D222" i="2" s="1"/>
  <c r="E222" i="2" s="1"/>
  <c r="B223" i="2"/>
  <c r="B224" i="2"/>
  <c r="B225" i="2"/>
  <c r="C225" i="2" s="1"/>
  <c r="D225" i="2" s="1"/>
  <c r="E225" i="2" s="1"/>
  <c r="B226" i="2"/>
  <c r="C226" i="2" s="1"/>
  <c r="D226" i="2" s="1"/>
  <c r="E226" i="2" s="1"/>
  <c r="B227" i="2"/>
  <c r="C227" i="2" s="1"/>
  <c r="D227" i="2" s="1"/>
  <c r="B228" i="2"/>
  <c r="C228" i="2" s="1"/>
  <c r="D228" i="2" s="1"/>
  <c r="B229" i="2"/>
  <c r="C229" i="2" s="1"/>
  <c r="D229" i="2" s="1"/>
  <c r="E229" i="2" s="1"/>
  <c r="B230" i="2"/>
  <c r="C230" i="2" s="1"/>
  <c r="D230" i="2" s="1"/>
  <c r="B231" i="2"/>
  <c r="C231" i="2" s="1"/>
  <c r="D231" i="2" s="1"/>
  <c r="E231" i="2" s="1"/>
  <c r="B232" i="2"/>
  <c r="C232" i="2" s="1"/>
  <c r="D232" i="2" s="1"/>
  <c r="B233" i="2"/>
  <c r="C233" i="2" s="1"/>
  <c r="D233" i="2" s="1"/>
  <c r="B234" i="2"/>
  <c r="C234" i="2" s="1"/>
  <c r="D234" i="2" s="1"/>
  <c r="B235" i="2"/>
  <c r="B236" i="2"/>
  <c r="C236" i="2" s="1"/>
  <c r="D236" i="2" s="1"/>
  <c r="B237" i="2"/>
  <c r="C237" i="2" s="1"/>
  <c r="D237" i="2" s="1"/>
  <c r="E237" i="2" s="1"/>
  <c r="B238" i="2"/>
  <c r="C238" i="2" s="1"/>
  <c r="B239" i="2"/>
  <c r="B240" i="2"/>
  <c r="B241" i="2"/>
  <c r="C241" i="2" s="1"/>
  <c r="D241" i="2" s="1"/>
  <c r="E241" i="2" s="1"/>
  <c r="B242" i="2"/>
  <c r="C242" i="2" s="1"/>
  <c r="D242" i="2" s="1"/>
  <c r="B243" i="2"/>
  <c r="C243" i="2" s="1"/>
  <c r="D243" i="2" s="1"/>
  <c r="E243" i="2" s="1"/>
  <c r="B244" i="2"/>
  <c r="C244" i="2" s="1"/>
  <c r="B245" i="2"/>
  <c r="C245" i="2" s="1"/>
  <c r="B246" i="2"/>
  <c r="C246" i="2" s="1"/>
  <c r="D246" i="2" s="1"/>
  <c r="E246" i="2" s="1"/>
  <c r="B247" i="2"/>
  <c r="C247" i="2" s="1"/>
  <c r="D247" i="2" s="1"/>
  <c r="E247" i="2" s="1"/>
  <c r="B248" i="2"/>
  <c r="C248" i="2" s="1"/>
  <c r="D248" i="2" s="1"/>
  <c r="B249" i="2"/>
  <c r="C249" i="2" s="1"/>
  <c r="D249" i="2" s="1"/>
  <c r="B250" i="2"/>
  <c r="C250" i="2" s="1"/>
  <c r="D250" i="2" s="1"/>
  <c r="B251" i="2"/>
  <c r="B252" i="2"/>
  <c r="C252" i="2" s="1"/>
  <c r="D252" i="2" s="1"/>
  <c r="B253" i="2"/>
  <c r="C253" i="2" s="1"/>
  <c r="D253" i="2" s="1"/>
  <c r="B254" i="2"/>
  <c r="C254" i="2" s="1"/>
  <c r="D254" i="2" s="1"/>
  <c r="B255" i="2"/>
  <c r="B256" i="2"/>
  <c r="B257" i="2"/>
  <c r="C257" i="2" s="1"/>
  <c r="D257" i="2" s="1"/>
  <c r="B258" i="2"/>
  <c r="C258" i="2" s="1"/>
  <c r="D258" i="2" s="1"/>
  <c r="E258" i="2" s="1"/>
  <c r="B259" i="2"/>
  <c r="C259" i="2" s="1"/>
  <c r="D259" i="2" s="1"/>
  <c r="B260" i="2"/>
  <c r="C260" i="2" s="1"/>
  <c r="B261" i="2"/>
  <c r="C261" i="2" s="1"/>
  <c r="D261" i="2" s="1"/>
  <c r="B262" i="2"/>
  <c r="C262" i="2" s="1"/>
  <c r="E262" i="2" s="1"/>
  <c r="B263" i="2"/>
  <c r="C263" i="2" s="1"/>
  <c r="D263" i="2" s="1"/>
  <c r="E263" i="2" s="1"/>
  <c r="B264" i="2"/>
  <c r="C264" i="2" s="1"/>
  <c r="D264" i="2" s="1"/>
  <c r="B265" i="2"/>
  <c r="C265" i="2" s="1"/>
  <c r="D265" i="2" s="1"/>
  <c r="B266" i="2"/>
  <c r="C266" i="2" s="1"/>
  <c r="D266" i="2" s="1"/>
  <c r="B267" i="2"/>
  <c r="B268" i="2"/>
  <c r="C268" i="2" s="1"/>
  <c r="B269" i="2"/>
  <c r="C269" i="2" s="1"/>
  <c r="D269" i="2" s="1"/>
  <c r="E269" i="2" s="1"/>
  <c r="B270" i="2"/>
  <c r="C270" i="2" s="1"/>
  <c r="D270" i="2" s="1"/>
  <c r="B271" i="2"/>
  <c r="B272" i="2"/>
  <c r="B273" i="2"/>
  <c r="C273" i="2" s="1"/>
  <c r="D273" i="2" s="1"/>
  <c r="B274" i="2"/>
  <c r="C274" i="2" s="1"/>
  <c r="D274" i="2" s="1"/>
  <c r="E274" i="2" s="1"/>
  <c r="B275" i="2"/>
  <c r="C275" i="2" s="1"/>
  <c r="D275" i="2" s="1"/>
  <c r="E275" i="2" s="1"/>
  <c r="B276" i="2"/>
  <c r="C276" i="2" s="1"/>
  <c r="D276" i="2" s="1"/>
  <c r="E276" i="2" s="1"/>
  <c r="B277" i="2"/>
  <c r="C277" i="2" s="1"/>
  <c r="B278" i="2"/>
  <c r="C278" i="2" s="1"/>
  <c r="D278" i="2" s="1"/>
  <c r="B279" i="2"/>
  <c r="C279" i="2" s="1"/>
  <c r="B280" i="2"/>
  <c r="C280" i="2" s="1"/>
  <c r="D280" i="2" s="1"/>
  <c r="B281" i="2"/>
  <c r="C281" i="2" s="1"/>
  <c r="B282" i="2"/>
  <c r="C282" i="2" s="1"/>
  <c r="B283" i="2"/>
  <c r="B284" i="2"/>
  <c r="C284" i="2" s="1"/>
  <c r="B285" i="2"/>
  <c r="C285" i="2" s="1"/>
  <c r="D285" i="2" s="1"/>
  <c r="B286" i="2"/>
  <c r="C286" i="2" s="1"/>
  <c r="D286" i="2" s="1"/>
  <c r="B287" i="2"/>
  <c r="B288" i="2"/>
  <c r="B289" i="2"/>
  <c r="C289" i="2" s="1"/>
  <c r="D289" i="2" s="1"/>
  <c r="E289" i="2" s="1"/>
  <c r="B290" i="2"/>
  <c r="C290" i="2" s="1"/>
  <c r="D290" i="2" s="1"/>
  <c r="E290" i="2" s="1"/>
  <c r="B291" i="2"/>
  <c r="C291" i="2" s="1"/>
  <c r="D291" i="2" s="1"/>
  <c r="B292" i="2"/>
  <c r="C292" i="2" s="1"/>
  <c r="B293" i="2"/>
  <c r="C293" i="2" s="1"/>
  <c r="D293" i="2" s="1"/>
  <c r="B294" i="2"/>
  <c r="C294" i="2" s="1"/>
  <c r="B295" i="2"/>
  <c r="C295" i="2" s="1"/>
  <c r="D295" i="2" s="1"/>
  <c r="E295" i="2" s="1"/>
  <c r="B296" i="2"/>
  <c r="C296" i="2" s="1"/>
  <c r="D296" i="2" s="1"/>
  <c r="B297" i="2"/>
  <c r="C297" i="2" s="1"/>
  <c r="D297" i="2" s="1"/>
  <c r="B298" i="2"/>
  <c r="C298" i="2" s="1"/>
  <c r="D298" i="2" s="1"/>
  <c r="B299" i="2"/>
  <c r="B300" i="2"/>
  <c r="C300" i="2" s="1"/>
  <c r="B301" i="2"/>
  <c r="C301" i="2" s="1"/>
  <c r="D301" i="2" s="1"/>
  <c r="B302" i="2"/>
  <c r="C302" i="2" s="1"/>
  <c r="B303" i="2"/>
  <c r="B304" i="2"/>
  <c r="B305" i="2"/>
  <c r="C305" i="2" s="1"/>
  <c r="D305" i="2" s="1"/>
  <c r="E305" i="2" s="1"/>
  <c r="B306" i="2"/>
  <c r="C306" i="2" s="1"/>
  <c r="D306" i="2" s="1"/>
  <c r="E306" i="2" s="1"/>
  <c r="B307" i="2"/>
  <c r="C307" i="2" s="1"/>
  <c r="D307" i="2" s="1"/>
  <c r="E307" i="2" s="1"/>
  <c r="B308" i="2"/>
  <c r="C308" i="2" s="1"/>
  <c r="B309" i="2"/>
  <c r="C309" i="2" s="1"/>
  <c r="B310" i="2"/>
  <c r="C310" i="2" s="1"/>
  <c r="D310" i="2" s="1"/>
  <c r="B311" i="2"/>
  <c r="C311" i="2" s="1"/>
  <c r="D311" i="2" s="1"/>
  <c r="E311" i="2" s="1"/>
  <c r="B312" i="2"/>
  <c r="C312" i="2" s="1"/>
  <c r="D312" i="2" s="1"/>
  <c r="B313" i="2"/>
  <c r="C313" i="2" s="1"/>
  <c r="B314" i="2"/>
  <c r="C314" i="2" s="1"/>
  <c r="D314" i="2" s="1"/>
  <c r="E314" i="2" s="1"/>
  <c r="B315" i="2"/>
  <c r="B316" i="2"/>
  <c r="C316" i="2" s="1"/>
  <c r="D316" i="2" s="1"/>
  <c r="B317" i="2"/>
  <c r="C317" i="2" s="1"/>
  <c r="D317" i="2" s="1"/>
  <c r="B318" i="2"/>
  <c r="C318" i="2" s="1"/>
  <c r="B319" i="2"/>
  <c r="B320" i="2"/>
  <c r="B321" i="2"/>
  <c r="C321" i="2" s="1"/>
  <c r="D321" i="2" s="1"/>
  <c r="E321" i="2" s="1"/>
  <c r="B322" i="2"/>
  <c r="C322" i="2" s="1"/>
  <c r="D322" i="2" s="1"/>
  <c r="E322" i="2" s="1"/>
  <c r="B323" i="2"/>
  <c r="C323" i="2" s="1"/>
  <c r="D323" i="2" s="1"/>
  <c r="B324" i="2"/>
  <c r="C324" i="2" s="1"/>
  <c r="D324" i="2" s="1"/>
  <c r="E324" i="2" s="1"/>
  <c r="B325" i="2"/>
  <c r="C325" i="2" s="1"/>
  <c r="B326" i="2"/>
  <c r="C326" i="2" s="1"/>
  <c r="D326" i="2" s="1"/>
  <c r="B327" i="2"/>
  <c r="C327" i="2" s="1"/>
  <c r="D327" i="2" s="1"/>
  <c r="E327" i="2" s="1"/>
  <c r="B328" i="2"/>
  <c r="C328" i="2" s="1"/>
  <c r="B329" i="2"/>
  <c r="C329" i="2" s="1"/>
  <c r="B330" i="2"/>
  <c r="C330" i="2" s="1"/>
  <c r="D330" i="2" s="1"/>
  <c r="B331" i="2"/>
  <c r="B332" i="2"/>
  <c r="C332" i="2" s="1"/>
  <c r="B333" i="2"/>
  <c r="C333" i="2" s="1"/>
  <c r="D333" i="2" s="1"/>
  <c r="B334" i="2"/>
  <c r="C334" i="2" s="1"/>
  <c r="B335" i="2"/>
  <c r="B336" i="2"/>
  <c r="B337" i="2"/>
  <c r="C337" i="2" s="1"/>
  <c r="D337" i="2" s="1"/>
  <c r="E337" i="2" s="1"/>
  <c r="B338" i="2"/>
  <c r="C338" i="2" s="1"/>
  <c r="D338" i="2" s="1"/>
  <c r="B339" i="2"/>
  <c r="C339" i="2" s="1"/>
  <c r="D339" i="2" s="1"/>
  <c r="B340" i="2"/>
  <c r="C340" i="2" s="1"/>
  <c r="D340" i="2" s="1"/>
  <c r="E340" i="2" s="1"/>
  <c r="B341" i="2"/>
  <c r="C341" i="2" s="1"/>
  <c r="D341" i="2" s="1"/>
  <c r="E341" i="2" s="1"/>
  <c r="B342" i="2"/>
  <c r="C342" i="2" s="1"/>
  <c r="D342" i="2" s="1"/>
  <c r="B343" i="2"/>
  <c r="C343" i="2" s="1"/>
  <c r="D343" i="2" s="1"/>
  <c r="E343" i="2" s="1"/>
  <c r="B344" i="2"/>
  <c r="C344" i="2" s="1"/>
  <c r="B345" i="2"/>
  <c r="C345" i="2" s="1"/>
  <c r="D345" i="2" s="1"/>
  <c r="B346" i="2"/>
  <c r="C346" i="2" s="1"/>
  <c r="B347" i="2"/>
  <c r="B348" i="2"/>
  <c r="C348" i="2" s="1"/>
  <c r="D348" i="2" s="1"/>
  <c r="B349" i="2"/>
  <c r="C349" i="2" s="1"/>
  <c r="B350" i="2"/>
  <c r="C350" i="2" s="1"/>
  <c r="B351" i="2"/>
  <c r="B352" i="2"/>
  <c r="B353" i="2"/>
  <c r="C353" i="2" s="1"/>
  <c r="D353" i="2" s="1"/>
  <c r="E353" i="2" s="1"/>
  <c r="B354" i="2"/>
  <c r="C354" i="2" s="1"/>
  <c r="D354" i="2" s="1"/>
  <c r="E354" i="2" s="1"/>
  <c r="B355" i="2"/>
  <c r="C355" i="2" s="1"/>
  <c r="D355" i="2" s="1"/>
  <c r="B356" i="2"/>
  <c r="C356" i="2" s="1"/>
  <c r="D356" i="2" s="1"/>
  <c r="E356" i="2" s="1"/>
  <c r="B357" i="2"/>
  <c r="C357" i="2" s="1"/>
  <c r="D357" i="2" s="1"/>
  <c r="E357" i="2" s="1"/>
  <c r="B358" i="2"/>
  <c r="C358" i="2" s="1"/>
  <c r="D358" i="2" s="1"/>
  <c r="B359" i="2"/>
  <c r="C359" i="2" s="1"/>
  <c r="D359" i="2" s="1"/>
  <c r="E359" i="2" s="1"/>
  <c r="B360" i="2"/>
  <c r="C360" i="2" s="1"/>
  <c r="B361" i="2"/>
  <c r="C361" i="2" s="1"/>
  <c r="B362" i="2"/>
  <c r="C362" i="2" s="1"/>
  <c r="B363" i="2"/>
  <c r="B364" i="2"/>
  <c r="C364" i="2" s="1"/>
  <c r="B365" i="2"/>
  <c r="C365" i="2" s="1"/>
  <c r="B366" i="2"/>
  <c r="C366" i="2" s="1"/>
  <c r="D366" i="2" s="1"/>
  <c r="B367" i="2"/>
  <c r="B368" i="2"/>
  <c r="B369" i="2"/>
  <c r="C369" i="2" s="1"/>
  <c r="D369" i="2" s="1"/>
  <c r="B370" i="2"/>
  <c r="C370" i="2" s="1"/>
  <c r="D370" i="2" s="1"/>
  <c r="B371" i="2"/>
  <c r="C371" i="2" s="1"/>
  <c r="D371" i="2" s="1"/>
  <c r="B372" i="2"/>
  <c r="C372" i="2" s="1"/>
  <c r="D372" i="2" s="1"/>
  <c r="B373" i="2"/>
  <c r="C373" i="2" s="1"/>
  <c r="D373" i="2" s="1"/>
  <c r="E373" i="2" s="1"/>
  <c r="B374" i="2"/>
  <c r="C374" i="2" s="1"/>
  <c r="D374" i="2" s="1"/>
  <c r="B375" i="2"/>
  <c r="C375" i="2" s="1"/>
  <c r="B376" i="2"/>
  <c r="C376" i="2" s="1"/>
  <c r="B377" i="2"/>
  <c r="C377" i="2" s="1"/>
  <c r="B378" i="2"/>
  <c r="C378" i="2" s="1"/>
  <c r="D378" i="2" s="1"/>
  <c r="B379" i="2"/>
  <c r="B380" i="2"/>
  <c r="C380" i="2" s="1"/>
  <c r="B381" i="2"/>
  <c r="C381" i="2" s="1"/>
  <c r="D381" i="2" s="1"/>
  <c r="B382" i="2"/>
  <c r="C382" i="2" s="1"/>
  <c r="B383" i="2"/>
  <c r="B384" i="2"/>
  <c r="B385" i="2"/>
  <c r="C385" i="2" s="1"/>
  <c r="D385" i="2" s="1"/>
  <c r="B386" i="2"/>
  <c r="C386" i="2" s="1"/>
  <c r="D386" i="2" s="1"/>
  <c r="E386" i="2" s="1"/>
  <c r="B387" i="2"/>
  <c r="C387" i="2" s="1"/>
  <c r="D387" i="2" s="1"/>
  <c r="B388" i="2"/>
  <c r="C388" i="2" s="1"/>
  <c r="D388" i="2" s="1"/>
  <c r="E388" i="2" s="1"/>
  <c r="B389" i="2"/>
  <c r="C389" i="2" s="1"/>
  <c r="D389" i="2" s="1"/>
  <c r="E389" i="2" s="1"/>
  <c r="B390" i="2"/>
  <c r="C390" i="2" s="1"/>
  <c r="E390" i="2" s="1"/>
  <c r="B391" i="2"/>
  <c r="C391" i="2" s="1"/>
  <c r="D391" i="2" s="1"/>
  <c r="E391" i="2" s="1"/>
  <c r="B392" i="2"/>
  <c r="C392" i="2" s="1"/>
  <c r="D392" i="2" s="1"/>
  <c r="B393" i="2"/>
  <c r="C393" i="2" s="1"/>
  <c r="D393" i="2" s="1"/>
  <c r="B394" i="2"/>
  <c r="C394" i="2" s="1"/>
  <c r="D394" i="2" s="1"/>
  <c r="B395" i="2"/>
  <c r="B396" i="2"/>
  <c r="C396" i="2" s="1"/>
  <c r="D396" i="2" s="1"/>
  <c r="B397" i="2"/>
  <c r="C397" i="2" s="1"/>
  <c r="D397" i="2" s="1"/>
  <c r="B398" i="2"/>
  <c r="C398" i="2" s="1"/>
  <c r="D398" i="2" s="1"/>
  <c r="E398" i="2" s="1"/>
  <c r="B399" i="2"/>
  <c r="B400" i="2"/>
  <c r="B401" i="2"/>
  <c r="C401" i="2" s="1"/>
  <c r="D401" i="2" s="1"/>
  <c r="B402" i="2"/>
  <c r="C402" i="2" s="1"/>
  <c r="D402" i="2" s="1"/>
  <c r="B403" i="2"/>
  <c r="C403" i="2" s="1"/>
  <c r="D403" i="2" s="1"/>
  <c r="B404" i="2"/>
  <c r="C404" i="2" s="1"/>
  <c r="D404" i="2" s="1"/>
  <c r="E404" i="2" s="1"/>
  <c r="B405" i="2"/>
  <c r="C405" i="2" s="1"/>
  <c r="D405" i="2" s="1"/>
  <c r="B406" i="2"/>
  <c r="C406" i="2" s="1"/>
  <c r="D406" i="2" s="1"/>
  <c r="B407" i="2"/>
  <c r="C407" i="2" s="1"/>
  <c r="D407" i="2" s="1"/>
  <c r="E407" i="2" s="1"/>
  <c r="B408" i="2"/>
  <c r="C408" i="2" s="1"/>
  <c r="B409" i="2"/>
  <c r="C409" i="2" s="1"/>
  <c r="B410" i="2"/>
  <c r="C410" i="2" s="1"/>
  <c r="B411" i="2"/>
  <c r="B412" i="2"/>
  <c r="C412" i="2" s="1"/>
  <c r="B413" i="2"/>
  <c r="C413" i="2" s="1"/>
  <c r="D413" i="2" s="1"/>
  <c r="B414" i="2"/>
  <c r="C414" i="2" s="1"/>
  <c r="B415" i="2"/>
  <c r="B416" i="2"/>
  <c r="B417" i="2"/>
  <c r="C417" i="2" s="1"/>
  <c r="D417" i="2" s="1"/>
  <c r="E417" i="2" s="1"/>
  <c r="B418" i="2"/>
  <c r="C418" i="2" s="1"/>
  <c r="D418" i="2" s="1"/>
  <c r="B419" i="2"/>
  <c r="C419" i="2" s="1"/>
  <c r="D419" i="2" s="1"/>
  <c r="B420" i="2"/>
  <c r="C420" i="2" s="1"/>
  <c r="D420" i="2" s="1"/>
  <c r="B421" i="2"/>
  <c r="C421" i="2" s="1"/>
  <c r="B422" i="2"/>
  <c r="C422" i="2" s="1"/>
  <c r="E422" i="2" s="1"/>
  <c r="B423" i="2"/>
  <c r="C423" i="2" s="1"/>
  <c r="D423" i="2" s="1"/>
  <c r="B424" i="2"/>
  <c r="C424" i="2" s="1"/>
  <c r="D424" i="2" s="1"/>
  <c r="B425" i="2"/>
  <c r="C425" i="2" s="1"/>
  <c r="B426" i="2"/>
  <c r="C426" i="2" s="1"/>
  <c r="D426" i="2" s="1"/>
  <c r="B427" i="2"/>
  <c r="B428" i="2"/>
  <c r="C428" i="2" s="1"/>
  <c r="D428" i="2" s="1"/>
  <c r="B429" i="2"/>
  <c r="C429" i="2" s="1"/>
  <c r="D429" i="2" s="1"/>
  <c r="B430" i="2"/>
  <c r="C430" i="2" s="1"/>
  <c r="B431" i="2"/>
  <c r="B432" i="2"/>
  <c r="B433" i="2"/>
  <c r="C433" i="2" s="1"/>
  <c r="D433" i="2" s="1"/>
  <c r="E433" i="2" s="1"/>
  <c r="B434" i="2"/>
  <c r="C434" i="2" s="1"/>
  <c r="D434" i="2" s="1"/>
  <c r="B435" i="2"/>
  <c r="C435" i="2" s="1"/>
  <c r="D435" i="2" s="1"/>
  <c r="E435" i="2" s="1"/>
  <c r="B436" i="2"/>
  <c r="C436" i="2" s="1"/>
  <c r="D436" i="2" s="1"/>
  <c r="B437" i="2"/>
  <c r="C437" i="2" s="1"/>
  <c r="D437" i="2" s="1"/>
  <c r="B438" i="2"/>
  <c r="C438" i="2" s="1"/>
  <c r="D438" i="2" s="1"/>
  <c r="B439" i="2"/>
  <c r="C439" i="2" s="1"/>
  <c r="D439" i="2" s="1"/>
  <c r="E439" i="2" s="1"/>
  <c r="B440" i="2"/>
  <c r="C440" i="2" s="1"/>
  <c r="B441" i="2"/>
  <c r="C441" i="2" s="1"/>
  <c r="D441" i="2" s="1"/>
  <c r="B442" i="2"/>
  <c r="C442" i="2" s="1"/>
  <c r="D442" i="2" s="1"/>
  <c r="B443" i="2"/>
  <c r="B444" i="2"/>
  <c r="C444" i="2" s="1"/>
  <c r="D444" i="2" s="1"/>
  <c r="B445" i="2"/>
  <c r="C445" i="2" s="1"/>
  <c r="D445" i="2" s="1"/>
  <c r="B446" i="2"/>
  <c r="C446" i="2" s="1"/>
  <c r="B447" i="2"/>
  <c r="B448" i="2"/>
  <c r="B449" i="2"/>
  <c r="C449" i="2" s="1"/>
  <c r="D449" i="2" s="1"/>
  <c r="E449" i="2" s="1"/>
  <c r="B450" i="2"/>
  <c r="C450" i="2" s="1"/>
  <c r="D450" i="2" s="1"/>
  <c r="E450" i="2" s="1"/>
  <c r="B451" i="2"/>
  <c r="C451" i="2" s="1"/>
  <c r="D451" i="2" s="1"/>
  <c r="B452" i="2"/>
  <c r="C452" i="2" s="1"/>
  <c r="D452" i="2" s="1"/>
  <c r="B453" i="2"/>
  <c r="C453" i="2" s="1"/>
  <c r="D453" i="2" s="1"/>
  <c r="B454" i="2"/>
  <c r="C454" i="2" s="1"/>
  <c r="E454" i="2" s="1"/>
  <c r="B455" i="2"/>
  <c r="C455" i="2" s="1"/>
  <c r="D455" i="2" s="1"/>
  <c r="E455" i="2" s="1"/>
  <c r="B456" i="2"/>
  <c r="C456" i="2" s="1"/>
  <c r="B457" i="2"/>
  <c r="C457" i="2" s="1"/>
  <c r="B458" i="2"/>
  <c r="C458" i="2" s="1"/>
  <c r="D458" i="2" s="1"/>
  <c r="B459" i="2"/>
  <c r="B460" i="2"/>
  <c r="C460" i="2" s="1"/>
  <c r="E460" i="2" s="1"/>
  <c r="B461" i="2"/>
  <c r="C461" i="2" s="1"/>
  <c r="D461" i="2" s="1"/>
  <c r="B462" i="2"/>
  <c r="C462" i="2" s="1"/>
  <c r="B463" i="2"/>
  <c r="B464" i="2"/>
  <c r="B465" i="2"/>
  <c r="C465" i="2" s="1"/>
  <c r="D465" i="2" s="1"/>
  <c r="B466" i="2"/>
  <c r="C466" i="2" s="1"/>
  <c r="D466" i="2" s="1"/>
  <c r="B467" i="2"/>
  <c r="C467" i="2" s="1"/>
  <c r="D467" i="2" s="1"/>
  <c r="B468" i="2"/>
  <c r="C468" i="2" s="1"/>
  <c r="D468" i="2" s="1"/>
  <c r="B469" i="2"/>
  <c r="C469" i="2" s="1"/>
  <c r="D469" i="2" s="1"/>
  <c r="E469" i="2" s="1"/>
  <c r="B470" i="2"/>
  <c r="C470" i="2" s="1"/>
  <c r="D470" i="2" s="1"/>
  <c r="B471" i="2"/>
  <c r="C471" i="2" s="1"/>
  <c r="D471" i="2" s="1"/>
  <c r="E471" i="2" s="1"/>
  <c r="B472" i="2"/>
  <c r="C472" i="2" s="1"/>
  <c r="D472" i="2" s="1"/>
  <c r="E472" i="2" s="1"/>
  <c r="B473" i="2"/>
  <c r="C473" i="2" s="1"/>
  <c r="B474" i="2"/>
  <c r="C474" i="2" s="1"/>
  <c r="D474" i="2" s="1"/>
  <c r="B475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2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23" i="2" l="1"/>
  <c r="E23" i="2"/>
  <c r="D7" i="2"/>
  <c r="E7" i="2"/>
  <c r="D294" i="2"/>
  <c r="E294" i="2"/>
  <c r="D198" i="2"/>
  <c r="E198" i="2"/>
  <c r="D325" i="2"/>
  <c r="E325" i="2"/>
  <c r="D309" i="2"/>
  <c r="E309" i="2"/>
  <c r="D277" i="2"/>
  <c r="E277" i="2"/>
  <c r="D245" i="2"/>
  <c r="O245" i="2" s="1"/>
  <c r="E245" i="2"/>
  <c r="D375" i="2"/>
  <c r="E375" i="2"/>
  <c r="D279" i="2"/>
  <c r="E279" i="2"/>
  <c r="D199" i="2"/>
  <c r="E199" i="2"/>
  <c r="D83" i="2"/>
  <c r="E83" i="2"/>
  <c r="O83" i="2" s="1"/>
  <c r="D292" i="2"/>
  <c r="E292" i="2"/>
  <c r="D97" i="2"/>
  <c r="E97" i="2"/>
  <c r="D260" i="2"/>
  <c r="O260" i="2" s="1"/>
  <c r="E260" i="2"/>
  <c r="D82" i="2"/>
  <c r="E82" i="2"/>
  <c r="O82" i="2" s="1"/>
  <c r="D446" i="2"/>
  <c r="E446" i="2"/>
  <c r="D382" i="2"/>
  <c r="E382" i="2"/>
  <c r="D350" i="2"/>
  <c r="E350" i="2"/>
  <c r="D238" i="2"/>
  <c r="E238" i="2"/>
  <c r="D190" i="2"/>
  <c r="E190" i="2"/>
  <c r="D110" i="2"/>
  <c r="O110" i="2" s="1"/>
  <c r="E110" i="2"/>
  <c r="D46" i="2"/>
  <c r="E46" i="2"/>
  <c r="O46" i="2" s="1"/>
  <c r="D68" i="2"/>
  <c r="O68" i="2" s="1"/>
  <c r="E68" i="2"/>
  <c r="D430" i="2"/>
  <c r="E430" i="2"/>
  <c r="D334" i="2"/>
  <c r="E334" i="2"/>
  <c r="D365" i="2"/>
  <c r="E365" i="2"/>
  <c r="D221" i="2"/>
  <c r="E221" i="2"/>
  <c r="D141" i="2"/>
  <c r="E141" i="2"/>
  <c r="D125" i="2"/>
  <c r="E125" i="2"/>
  <c r="D109" i="2"/>
  <c r="E109" i="2"/>
  <c r="D93" i="2"/>
  <c r="O93" i="2" s="1"/>
  <c r="E93" i="2"/>
  <c r="D39" i="2"/>
  <c r="E39" i="2"/>
  <c r="D36" i="2"/>
  <c r="E36" i="2"/>
  <c r="D302" i="2"/>
  <c r="E302" i="2"/>
  <c r="D349" i="2"/>
  <c r="E349" i="2"/>
  <c r="D332" i="2"/>
  <c r="O332" i="2" s="1"/>
  <c r="E332" i="2"/>
  <c r="D300" i="2"/>
  <c r="E300" i="2"/>
  <c r="D268" i="2"/>
  <c r="E268" i="2"/>
  <c r="O268" i="2" s="1"/>
  <c r="D244" i="2"/>
  <c r="O244" i="2" s="1"/>
  <c r="E244" i="2"/>
  <c r="D462" i="2"/>
  <c r="E462" i="2"/>
  <c r="D414" i="2"/>
  <c r="E414" i="2"/>
  <c r="D318" i="2"/>
  <c r="E318" i="2"/>
  <c r="O318" i="2" s="1"/>
  <c r="D205" i="2"/>
  <c r="E205" i="2"/>
  <c r="D412" i="2"/>
  <c r="E412" i="2"/>
  <c r="D380" i="2"/>
  <c r="E380" i="2"/>
  <c r="D364" i="2"/>
  <c r="E364" i="2"/>
  <c r="O364" i="2" s="1"/>
  <c r="D284" i="2"/>
  <c r="O284" i="2" s="1"/>
  <c r="E284" i="2"/>
  <c r="D220" i="2"/>
  <c r="E220" i="2"/>
  <c r="D151" i="2"/>
  <c r="E151" i="2"/>
  <c r="D410" i="2"/>
  <c r="E410" i="2"/>
  <c r="O410" i="2" s="1"/>
  <c r="D362" i="2"/>
  <c r="E362" i="2"/>
  <c r="D282" i="2"/>
  <c r="E282" i="2"/>
  <c r="D186" i="2"/>
  <c r="O186" i="2" s="1"/>
  <c r="E186" i="2"/>
  <c r="D74" i="2"/>
  <c r="E74" i="2"/>
  <c r="O74" i="2" s="1"/>
  <c r="D42" i="2"/>
  <c r="O42" i="2" s="1"/>
  <c r="E42" i="2"/>
  <c r="D71" i="2"/>
  <c r="E71" i="2"/>
  <c r="D308" i="2"/>
  <c r="E308" i="2"/>
  <c r="D346" i="2"/>
  <c r="E346" i="2"/>
  <c r="D473" i="2"/>
  <c r="E473" i="2"/>
  <c r="D457" i="2"/>
  <c r="E457" i="2"/>
  <c r="D425" i="2"/>
  <c r="E425" i="2"/>
  <c r="D409" i="2"/>
  <c r="E409" i="2"/>
  <c r="O409" i="2" s="1"/>
  <c r="D377" i="2"/>
  <c r="O377" i="2" s="1"/>
  <c r="E377" i="2"/>
  <c r="D361" i="2"/>
  <c r="E361" i="2"/>
  <c r="D329" i="2"/>
  <c r="E329" i="2"/>
  <c r="D313" i="2"/>
  <c r="E313" i="2"/>
  <c r="O313" i="2" s="1"/>
  <c r="D281" i="2"/>
  <c r="E281" i="2"/>
  <c r="D169" i="2"/>
  <c r="E169" i="2"/>
  <c r="D137" i="2"/>
  <c r="E137" i="2"/>
  <c r="D57" i="2"/>
  <c r="O57" i="2" s="1"/>
  <c r="E57" i="2"/>
  <c r="D41" i="2"/>
  <c r="O41" i="2" s="1"/>
  <c r="E41" i="2"/>
  <c r="D25" i="2"/>
  <c r="E25" i="2"/>
  <c r="D9" i="2"/>
  <c r="E9" i="2"/>
  <c r="D103" i="2"/>
  <c r="E103" i="2"/>
  <c r="D456" i="2"/>
  <c r="E456" i="2"/>
  <c r="D440" i="2"/>
  <c r="O440" i="2" s="1"/>
  <c r="E440" i="2"/>
  <c r="D408" i="2"/>
  <c r="E408" i="2"/>
  <c r="D376" i="2"/>
  <c r="E376" i="2"/>
  <c r="D360" i="2"/>
  <c r="O360" i="2" s="1"/>
  <c r="E360" i="2"/>
  <c r="D344" i="2"/>
  <c r="E344" i="2"/>
  <c r="D328" i="2"/>
  <c r="E328" i="2"/>
  <c r="D216" i="2"/>
  <c r="E216" i="2"/>
  <c r="D168" i="2"/>
  <c r="E168" i="2"/>
  <c r="D152" i="2"/>
  <c r="O152" i="2" s="1"/>
  <c r="E152" i="2"/>
  <c r="D136" i="2"/>
  <c r="E136" i="2"/>
  <c r="O136" i="2" s="1"/>
  <c r="D120" i="2"/>
  <c r="E120" i="2"/>
  <c r="O120" i="2" s="1"/>
  <c r="E459" i="2"/>
  <c r="O459" i="2" s="1"/>
  <c r="E283" i="2"/>
  <c r="O283" i="2" s="1"/>
  <c r="E331" i="2"/>
  <c r="E187" i="2"/>
  <c r="E443" i="2"/>
  <c r="E171" i="2"/>
  <c r="E427" i="2"/>
  <c r="E363" i="2"/>
  <c r="E315" i="2"/>
  <c r="O315" i="2" s="1"/>
  <c r="E59" i="2"/>
  <c r="E411" i="2"/>
  <c r="O411" i="2" s="1"/>
  <c r="E347" i="2"/>
  <c r="E123" i="2"/>
  <c r="E395" i="2"/>
  <c r="O395" i="2" s="1"/>
  <c r="E203" i="2"/>
  <c r="E257" i="2"/>
  <c r="O257" i="2" s="1"/>
  <c r="E17" i="2"/>
  <c r="O17" i="2" s="1"/>
  <c r="E81" i="2"/>
  <c r="O81" i="2" s="1"/>
  <c r="E401" i="2"/>
  <c r="E385" i="2"/>
  <c r="E129" i="2"/>
  <c r="E193" i="2"/>
  <c r="O193" i="2" s="1"/>
  <c r="E113" i="2"/>
  <c r="E369" i="2"/>
  <c r="O369" i="2" s="1"/>
  <c r="E33" i="2"/>
  <c r="O33" i="2" s="1"/>
  <c r="E442" i="2"/>
  <c r="E396" i="2"/>
  <c r="O396" i="2" s="1"/>
  <c r="E436" i="2"/>
  <c r="O436" i="2" s="1"/>
  <c r="E475" i="2"/>
  <c r="O475" i="2" s="1"/>
  <c r="E420" i="2"/>
  <c r="O420" i="2" s="1"/>
  <c r="E333" i="2"/>
  <c r="O333" i="2" s="1"/>
  <c r="E413" i="2"/>
  <c r="O413" i="2" s="1"/>
  <c r="E372" i="2"/>
  <c r="O372" i="2" s="1"/>
  <c r="E453" i="2"/>
  <c r="O453" i="2" s="1"/>
  <c r="E444" i="2"/>
  <c r="E402" i="2"/>
  <c r="O402" i="2" s="1"/>
  <c r="E403" i="2"/>
  <c r="O403" i="2" s="1"/>
  <c r="O308" i="2"/>
  <c r="O36" i="2"/>
  <c r="E434" i="2"/>
  <c r="O434" i="2" s="1"/>
  <c r="E210" i="2"/>
  <c r="O210" i="2" s="1"/>
  <c r="O401" i="2"/>
  <c r="O129" i="2"/>
  <c r="O113" i="2"/>
  <c r="O97" i="2"/>
  <c r="E211" i="2"/>
  <c r="O211" i="2" s="1"/>
  <c r="E468" i="2"/>
  <c r="O468" i="2" s="1"/>
  <c r="E387" i="2"/>
  <c r="E323" i="2"/>
  <c r="O323" i="2" s="1"/>
  <c r="E467" i="2"/>
  <c r="O467" i="2" s="1"/>
  <c r="E466" i="2"/>
  <c r="O466" i="2" s="1"/>
  <c r="E355" i="2"/>
  <c r="O355" i="2" s="1"/>
  <c r="E131" i="2"/>
  <c r="O131" i="2" s="1"/>
  <c r="O462" i="2"/>
  <c r="O446" i="2"/>
  <c r="O430" i="2"/>
  <c r="O414" i="2"/>
  <c r="O350" i="2"/>
  <c r="O334" i="2"/>
  <c r="O302" i="2"/>
  <c r="O238" i="2"/>
  <c r="O190" i="2"/>
  <c r="D416" i="2"/>
  <c r="O416" i="2" s="1"/>
  <c r="E423" i="2"/>
  <c r="O423" i="2" s="1"/>
  <c r="E3" i="2"/>
  <c r="O3" i="2" s="1"/>
  <c r="O365" i="2"/>
  <c r="O349" i="2"/>
  <c r="O221" i="2"/>
  <c r="O205" i="2"/>
  <c r="O141" i="2"/>
  <c r="O125" i="2"/>
  <c r="O109" i="2"/>
  <c r="E195" i="2"/>
  <c r="E2" i="2"/>
  <c r="O2" i="2" s="1"/>
  <c r="O444" i="2"/>
  <c r="O300" i="2"/>
  <c r="O220" i="2"/>
  <c r="D384" i="2"/>
  <c r="O384" i="2" s="1"/>
  <c r="E259" i="2"/>
  <c r="O259" i="2" s="1"/>
  <c r="E51" i="2"/>
  <c r="O51" i="2" s="1"/>
  <c r="O427" i="2"/>
  <c r="O363" i="2"/>
  <c r="O347" i="2"/>
  <c r="O267" i="2"/>
  <c r="O203" i="2"/>
  <c r="O187" i="2"/>
  <c r="O171" i="2"/>
  <c r="O123" i="2"/>
  <c r="O27" i="2"/>
  <c r="D368" i="2"/>
  <c r="D112" i="2"/>
  <c r="E50" i="2"/>
  <c r="O50" i="2" s="1"/>
  <c r="O362" i="2"/>
  <c r="O346" i="2"/>
  <c r="O282" i="2"/>
  <c r="D96" i="2"/>
  <c r="O96" i="2" s="1"/>
  <c r="O195" i="2"/>
  <c r="O473" i="2"/>
  <c r="O457" i="2"/>
  <c r="O425" i="2"/>
  <c r="O361" i="2"/>
  <c r="O329" i="2"/>
  <c r="O281" i="2"/>
  <c r="O169" i="2"/>
  <c r="O137" i="2"/>
  <c r="O9" i="2"/>
  <c r="D336" i="2"/>
  <c r="O336" i="2" s="1"/>
  <c r="O387" i="2"/>
  <c r="E451" i="2"/>
  <c r="O451" i="2" s="1"/>
  <c r="E339" i="2"/>
  <c r="O339" i="2" s="1"/>
  <c r="O376" i="2"/>
  <c r="O344" i="2"/>
  <c r="O328" i="2"/>
  <c r="O216" i="2"/>
  <c r="O168" i="2"/>
  <c r="D64" i="2"/>
  <c r="O64" i="2" s="1"/>
  <c r="E338" i="2"/>
  <c r="O338" i="2" s="1"/>
  <c r="O375" i="2"/>
  <c r="O279" i="2"/>
  <c r="O103" i="2"/>
  <c r="O71" i="2"/>
  <c r="O39" i="2"/>
  <c r="O23" i="2"/>
  <c r="O7" i="2"/>
  <c r="E179" i="2"/>
  <c r="O179" i="2" s="1"/>
  <c r="E370" i="2"/>
  <c r="O370" i="2" s="1"/>
  <c r="E227" i="2"/>
  <c r="O227" i="2" s="1"/>
  <c r="E371" i="2"/>
  <c r="O371" i="2" s="1"/>
  <c r="E291" i="2"/>
  <c r="O291" i="2" s="1"/>
  <c r="E470" i="2"/>
  <c r="O470" i="2" s="1"/>
  <c r="O385" i="2"/>
  <c r="O199" i="2"/>
  <c r="O442" i="2"/>
  <c r="O412" i="2"/>
  <c r="O380" i="2"/>
  <c r="E358" i="2"/>
  <c r="O358" i="2" s="1"/>
  <c r="O292" i="2"/>
  <c r="E150" i="2"/>
  <c r="O150" i="2" s="1"/>
  <c r="O59" i="2"/>
  <c r="D431" i="2"/>
  <c r="O431" i="2" s="1"/>
  <c r="D415" i="2"/>
  <c r="D399" i="2"/>
  <c r="O399" i="2" s="1"/>
  <c r="D383" i="2"/>
  <c r="O383" i="2" s="1"/>
  <c r="D351" i="2"/>
  <c r="O351" i="2" s="1"/>
  <c r="D287" i="2"/>
  <c r="O287" i="2" s="1"/>
  <c r="D223" i="2"/>
  <c r="O223" i="2" s="1"/>
  <c r="D143" i="2"/>
  <c r="O143" i="2" s="1"/>
  <c r="E22" i="2"/>
  <c r="O151" i="2"/>
  <c r="E102" i="2"/>
  <c r="O102" i="2" s="1"/>
  <c r="E54" i="2"/>
  <c r="O25" i="2"/>
  <c r="E438" i="2"/>
  <c r="O438" i="2" s="1"/>
  <c r="E326" i="2"/>
  <c r="O326" i="2" s="1"/>
  <c r="E230" i="2"/>
  <c r="O230" i="2" s="1"/>
  <c r="D460" i="2"/>
  <c r="O460" i="2" s="1"/>
  <c r="E437" i="2"/>
  <c r="E374" i="2"/>
  <c r="O443" i="2"/>
  <c r="E406" i="2"/>
  <c r="O406" i="2" s="1"/>
  <c r="E134" i="2"/>
  <c r="O134" i="2" s="1"/>
  <c r="E182" i="2"/>
  <c r="O182" i="2" s="1"/>
  <c r="E86" i="2"/>
  <c r="E6" i="2"/>
  <c r="E278" i="2"/>
  <c r="O278" i="2" s="1"/>
  <c r="E342" i="2"/>
  <c r="E214" i="2"/>
  <c r="O214" i="2" s="1"/>
  <c r="E310" i="2"/>
  <c r="O310" i="2" s="1"/>
  <c r="D454" i="2"/>
  <c r="O454" i="2" s="1"/>
  <c r="D422" i="2"/>
  <c r="O422" i="2" s="1"/>
  <c r="D390" i="2"/>
  <c r="O390" i="2" s="1"/>
  <c r="D262" i="2"/>
  <c r="D166" i="2"/>
  <c r="D118" i="2"/>
  <c r="E118" i="2" s="1"/>
  <c r="D70" i="2"/>
  <c r="E70" i="2" s="1"/>
  <c r="O70" i="2" s="1"/>
  <c r="D38" i="2"/>
  <c r="D421" i="2"/>
  <c r="E452" i="2"/>
  <c r="O452" i="2" s="1"/>
  <c r="O382" i="2"/>
  <c r="O331" i="2"/>
  <c r="E160" i="2"/>
  <c r="E271" i="2"/>
  <c r="O271" i="2" s="1"/>
  <c r="E239" i="2"/>
  <c r="O239" i="2" s="1"/>
  <c r="E175" i="2"/>
  <c r="O175" i="2" s="1"/>
  <c r="E63" i="2"/>
  <c r="O63" i="2" s="1"/>
  <c r="E127" i="2"/>
  <c r="E47" i="2"/>
  <c r="E176" i="2"/>
  <c r="E400" i="2"/>
  <c r="O373" i="2"/>
  <c r="O85" i="2"/>
  <c r="E432" i="2"/>
  <c r="O432" i="2" s="1"/>
  <c r="E215" i="2"/>
  <c r="O215" i="2" s="1"/>
  <c r="O229" i="2"/>
  <c r="O342" i="2"/>
  <c r="O37" i="2"/>
  <c r="E128" i="2"/>
  <c r="O128" i="2" s="1"/>
  <c r="O247" i="2"/>
  <c r="E228" i="2"/>
  <c r="O228" i="2" s="1"/>
  <c r="E164" i="2"/>
  <c r="O164" i="2" s="1"/>
  <c r="E20" i="2"/>
  <c r="O20" i="2" s="1"/>
  <c r="O197" i="2"/>
  <c r="O117" i="2"/>
  <c r="O404" i="2"/>
  <c r="O407" i="2"/>
  <c r="E419" i="2"/>
  <c r="O419" i="2" s="1"/>
  <c r="E163" i="2"/>
  <c r="O163" i="2" s="1"/>
  <c r="E67" i="2"/>
  <c r="O67" i="2" s="1"/>
  <c r="O5" i="2"/>
  <c r="O147" i="2"/>
  <c r="O119" i="2"/>
  <c r="E418" i="2"/>
  <c r="O418" i="2" s="1"/>
  <c r="E242" i="2"/>
  <c r="O242" i="2" s="1"/>
  <c r="E178" i="2"/>
  <c r="O178" i="2" s="1"/>
  <c r="E114" i="2"/>
  <c r="O114" i="2" s="1"/>
  <c r="O4" i="2"/>
  <c r="E159" i="2"/>
  <c r="O246" i="2"/>
  <c r="E80" i="2"/>
  <c r="O80" i="2" s="1"/>
  <c r="E48" i="2"/>
  <c r="O48" i="2" s="1"/>
  <c r="O133" i="2"/>
  <c r="O469" i="2"/>
  <c r="O21" i="2"/>
  <c r="E352" i="2"/>
  <c r="O352" i="2" s="1"/>
  <c r="E465" i="2"/>
  <c r="O465" i="2" s="1"/>
  <c r="E273" i="2"/>
  <c r="O273" i="2" s="1"/>
  <c r="E49" i="2"/>
  <c r="O49" i="2" s="1"/>
  <c r="O258" i="2"/>
  <c r="O290" i="2"/>
  <c r="O65" i="2"/>
  <c r="O341" i="2"/>
  <c r="O212" i="2"/>
  <c r="O213" i="2"/>
  <c r="O437" i="2"/>
  <c r="O388" i="2"/>
  <c r="O53" i="2"/>
  <c r="E32" i="2"/>
  <c r="O135" i="2"/>
  <c r="O295" i="2"/>
  <c r="O439" i="2"/>
  <c r="E464" i="2"/>
  <c r="O464" i="2" s="1"/>
  <c r="E448" i="2"/>
  <c r="E320" i="2"/>
  <c r="O320" i="2" s="1"/>
  <c r="E304" i="2"/>
  <c r="O304" i="2" s="1"/>
  <c r="E288" i="2"/>
  <c r="O288" i="2" s="1"/>
  <c r="E272" i="2"/>
  <c r="O272" i="2" s="1"/>
  <c r="E256" i="2"/>
  <c r="O256" i="2" s="1"/>
  <c r="E240" i="2"/>
  <c r="O240" i="2" s="1"/>
  <c r="E224" i="2"/>
  <c r="O224" i="2" s="1"/>
  <c r="E208" i="2"/>
  <c r="O208" i="2" s="1"/>
  <c r="E144" i="2"/>
  <c r="O144" i="2" s="1"/>
  <c r="E16" i="2"/>
  <c r="O16" i="2" s="1"/>
  <c r="O450" i="2"/>
  <c r="O34" i="2"/>
  <c r="O194" i="2"/>
  <c r="O146" i="2"/>
  <c r="O145" i="2"/>
  <c r="O162" i="2"/>
  <c r="O340" i="2"/>
  <c r="O275" i="2"/>
  <c r="O277" i="2"/>
  <c r="E447" i="2"/>
  <c r="O447" i="2" s="1"/>
  <c r="E367" i="2"/>
  <c r="O367" i="2" s="1"/>
  <c r="E335" i="2"/>
  <c r="O335" i="2" s="1"/>
  <c r="E319" i="2"/>
  <c r="O319" i="2" s="1"/>
  <c r="E303" i="2"/>
  <c r="O303" i="2" s="1"/>
  <c r="E255" i="2"/>
  <c r="O255" i="2" s="1"/>
  <c r="E191" i="2"/>
  <c r="O191" i="2" s="1"/>
  <c r="E111" i="2"/>
  <c r="O111" i="2" s="1"/>
  <c r="E95" i="2"/>
  <c r="O95" i="2" s="1"/>
  <c r="E79" i="2"/>
  <c r="O79" i="2" s="1"/>
  <c r="E15" i="2"/>
  <c r="O15" i="2" s="1"/>
  <c r="O19" i="2"/>
  <c r="O231" i="2"/>
  <c r="O391" i="2"/>
  <c r="O166" i="2"/>
  <c r="O69" i="2"/>
  <c r="O35" i="2"/>
  <c r="O22" i="2"/>
  <c r="O435" i="2"/>
  <c r="O389" i="2"/>
  <c r="O311" i="2"/>
  <c r="O455" i="2"/>
  <c r="E366" i="2"/>
  <c r="O366" i="2" s="1"/>
  <c r="E286" i="2"/>
  <c r="O286" i="2" s="1"/>
  <c r="E270" i="2"/>
  <c r="O270" i="2" s="1"/>
  <c r="E254" i="2"/>
  <c r="O254" i="2" s="1"/>
  <c r="E206" i="2"/>
  <c r="O206" i="2" s="1"/>
  <c r="E126" i="2"/>
  <c r="O126" i="2" s="1"/>
  <c r="E94" i="2"/>
  <c r="O94" i="2" s="1"/>
  <c r="E62" i="2"/>
  <c r="O62" i="2" s="1"/>
  <c r="E14" i="2"/>
  <c r="O14" i="2" s="1"/>
  <c r="O356" i="2"/>
  <c r="O209" i="2"/>
  <c r="O226" i="2"/>
  <c r="O66" i="2"/>
  <c r="O177" i="2"/>
  <c r="O6" i="2"/>
  <c r="O309" i="2"/>
  <c r="O84" i="2"/>
  <c r="O167" i="2"/>
  <c r="O327" i="2"/>
  <c r="E461" i="2"/>
  <c r="O461" i="2" s="1"/>
  <c r="E445" i="2"/>
  <c r="O445" i="2" s="1"/>
  <c r="E429" i="2"/>
  <c r="O429" i="2" s="1"/>
  <c r="E397" i="2"/>
  <c r="O397" i="2" s="1"/>
  <c r="E381" i="2"/>
  <c r="O381" i="2" s="1"/>
  <c r="E317" i="2"/>
  <c r="O317" i="2" s="1"/>
  <c r="E301" i="2"/>
  <c r="O301" i="2" s="1"/>
  <c r="E285" i="2"/>
  <c r="O285" i="2" s="1"/>
  <c r="E253" i="2"/>
  <c r="O253" i="2" s="1"/>
  <c r="E189" i="2"/>
  <c r="O189" i="2" s="1"/>
  <c r="E157" i="2"/>
  <c r="O157" i="2" s="1"/>
  <c r="E13" i="2"/>
  <c r="O13" i="2" s="1"/>
  <c r="O386" i="2"/>
  <c r="E261" i="2"/>
  <c r="O261" i="2" s="1"/>
  <c r="E149" i="2"/>
  <c r="O149" i="2" s="1"/>
  <c r="O269" i="2"/>
  <c r="O357" i="2"/>
  <c r="O325" i="2"/>
  <c r="O337" i="2"/>
  <c r="O180" i="2"/>
  <c r="O132" i="2"/>
  <c r="O78" i="2"/>
  <c r="O174" i="2"/>
  <c r="O77" i="2"/>
  <c r="E428" i="2"/>
  <c r="O428" i="2" s="1"/>
  <c r="E348" i="2"/>
  <c r="O348" i="2" s="1"/>
  <c r="E316" i="2"/>
  <c r="O316" i="2" s="1"/>
  <c r="E252" i="2"/>
  <c r="O252" i="2" s="1"/>
  <c r="E236" i="2"/>
  <c r="O236" i="2" s="1"/>
  <c r="E188" i="2"/>
  <c r="O188" i="2" s="1"/>
  <c r="E156" i="2"/>
  <c r="O156" i="2" s="1"/>
  <c r="E140" i="2"/>
  <c r="O140" i="2" s="1"/>
  <c r="E124" i="2"/>
  <c r="O124" i="2" s="1"/>
  <c r="E92" i="2"/>
  <c r="O92" i="2" s="1"/>
  <c r="E76" i="2"/>
  <c r="O76" i="2" s="1"/>
  <c r="E60" i="2"/>
  <c r="O60" i="2" s="1"/>
  <c r="E44" i="2"/>
  <c r="O44" i="2" s="1"/>
  <c r="E12" i="2"/>
  <c r="O12" i="2" s="1"/>
  <c r="O307" i="2"/>
  <c r="O354" i="2"/>
  <c r="O241" i="2"/>
  <c r="O158" i="2"/>
  <c r="O28" i="2"/>
  <c r="O324" i="2"/>
  <c r="O173" i="2"/>
  <c r="O115" i="2"/>
  <c r="O262" i="2"/>
  <c r="O398" i="2"/>
  <c r="O183" i="2"/>
  <c r="O343" i="2"/>
  <c r="E379" i="2"/>
  <c r="O379" i="2" s="1"/>
  <c r="E299" i="2"/>
  <c r="O299" i="2" s="1"/>
  <c r="E251" i="2"/>
  <c r="O251" i="2" s="1"/>
  <c r="E235" i="2"/>
  <c r="O235" i="2" s="1"/>
  <c r="E219" i="2"/>
  <c r="O219" i="2" s="1"/>
  <c r="E155" i="2"/>
  <c r="O155" i="2" s="1"/>
  <c r="E139" i="2"/>
  <c r="O139" i="2" s="1"/>
  <c r="E107" i="2"/>
  <c r="O107" i="2" s="1"/>
  <c r="E91" i="2"/>
  <c r="O91" i="2" s="1"/>
  <c r="E75" i="2"/>
  <c r="O75" i="2" s="1"/>
  <c r="E43" i="2"/>
  <c r="O43" i="2" s="1"/>
  <c r="E11" i="2"/>
  <c r="O11" i="2" s="1"/>
  <c r="O471" i="2"/>
  <c r="O222" i="2"/>
  <c r="O54" i="2"/>
  <c r="O87" i="2"/>
  <c r="E293" i="2"/>
  <c r="O293" i="2" s="1"/>
  <c r="O98" i="2"/>
  <c r="O243" i="2"/>
  <c r="O353" i="2"/>
  <c r="O29" i="2"/>
  <c r="O196" i="2"/>
  <c r="O52" i="2"/>
  <c r="E474" i="2"/>
  <c r="O474" i="2" s="1"/>
  <c r="E458" i="2"/>
  <c r="O458" i="2" s="1"/>
  <c r="E426" i="2"/>
  <c r="O426" i="2" s="1"/>
  <c r="E394" i="2"/>
  <c r="O394" i="2" s="1"/>
  <c r="E378" i="2"/>
  <c r="O378" i="2" s="1"/>
  <c r="E330" i="2"/>
  <c r="O330" i="2" s="1"/>
  <c r="E298" i="2"/>
  <c r="O298" i="2" s="1"/>
  <c r="E266" i="2"/>
  <c r="O266" i="2" s="1"/>
  <c r="E250" i="2"/>
  <c r="O250" i="2" s="1"/>
  <c r="E234" i="2"/>
  <c r="O234" i="2" s="1"/>
  <c r="E218" i="2"/>
  <c r="O218" i="2" s="1"/>
  <c r="E202" i="2"/>
  <c r="O202" i="2" s="1"/>
  <c r="E154" i="2"/>
  <c r="O154" i="2" s="1"/>
  <c r="E138" i="2"/>
  <c r="O138" i="2" s="1"/>
  <c r="E122" i="2"/>
  <c r="O122" i="2" s="1"/>
  <c r="E58" i="2"/>
  <c r="O58" i="2" s="1"/>
  <c r="E26" i="2"/>
  <c r="O26" i="2" s="1"/>
  <c r="O415" i="2"/>
  <c r="O30" i="2"/>
  <c r="O306" i="2"/>
  <c r="O276" i="2"/>
  <c r="E405" i="2"/>
  <c r="O405" i="2" s="1"/>
  <c r="O204" i="2"/>
  <c r="O130" i="2"/>
  <c r="O161" i="2"/>
  <c r="O294" i="2"/>
  <c r="O322" i="2"/>
  <c r="O305" i="2"/>
  <c r="O99" i="2"/>
  <c r="O417" i="2"/>
  <c r="O18" i="2"/>
  <c r="O90" i="2"/>
  <c r="O100" i="2"/>
  <c r="O101" i="2"/>
  <c r="O237" i="2"/>
  <c r="O148" i="2"/>
  <c r="O198" i="2"/>
  <c r="O55" i="2"/>
  <c r="O359" i="2"/>
  <c r="E441" i="2"/>
  <c r="O441" i="2" s="1"/>
  <c r="E393" i="2"/>
  <c r="O393" i="2" s="1"/>
  <c r="E345" i="2"/>
  <c r="O345" i="2" s="1"/>
  <c r="E297" i="2"/>
  <c r="O297" i="2" s="1"/>
  <c r="E265" i="2"/>
  <c r="O265" i="2" s="1"/>
  <c r="E249" i="2"/>
  <c r="O249" i="2" s="1"/>
  <c r="E233" i="2"/>
  <c r="O233" i="2" s="1"/>
  <c r="E217" i="2"/>
  <c r="O217" i="2" s="1"/>
  <c r="E201" i="2"/>
  <c r="O201" i="2" s="1"/>
  <c r="E185" i="2"/>
  <c r="O185" i="2" s="1"/>
  <c r="E153" i="2"/>
  <c r="O153" i="2" s="1"/>
  <c r="E121" i="2"/>
  <c r="O121" i="2" s="1"/>
  <c r="E105" i="2"/>
  <c r="O105" i="2" s="1"/>
  <c r="E89" i="2"/>
  <c r="O89" i="2" s="1"/>
  <c r="E73" i="2"/>
  <c r="O73" i="2" s="1"/>
  <c r="O321" i="2"/>
  <c r="O45" i="2"/>
  <c r="O106" i="2"/>
  <c r="O61" i="2"/>
  <c r="O170" i="2"/>
  <c r="O10" i="2"/>
  <c r="O274" i="2"/>
  <c r="O433" i="2"/>
  <c r="O374" i="2"/>
  <c r="O289" i="2"/>
  <c r="O314" i="2"/>
  <c r="O449" i="2"/>
  <c r="O263" i="2"/>
  <c r="O225" i="2"/>
  <c r="O108" i="2"/>
  <c r="O116" i="2"/>
  <c r="O181" i="2"/>
  <c r="O172" i="2"/>
  <c r="O142" i="2"/>
  <c r="O86" i="2"/>
  <c r="O165" i="2"/>
  <c r="E424" i="2"/>
  <c r="O424" i="2" s="1"/>
  <c r="E392" i="2"/>
  <c r="O392" i="2" s="1"/>
  <c r="E312" i="2"/>
  <c r="O312" i="2" s="1"/>
  <c r="E296" i="2"/>
  <c r="O296" i="2" s="1"/>
  <c r="E280" i="2"/>
  <c r="O280" i="2" s="1"/>
  <c r="E264" i="2"/>
  <c r="O264" i="2" s="1"/>
  <c r="E248" i="2"/>
  <c r="O248" i="2" s="1"/>
  <c r="E232" i="2"/>
  <c r="O232" i="2" s="1"/>
  <c r="E200" i="2"/>
  <c r="O200" i="2" s="1"/>
  <c r="E184" i="2"/>
  <c r="O184" i="2" s="1"/>
  <c r="E104" i="2"/>
  <c r="O104" i="2" s="1"/>
  <c r="E88" i="2"/>
  <c r="O88" i="2" s="1"/>
  <c r="E72" i="2"/>
  <c r="O72" i="2" s="1"/>
  <c r="E56" i="2"/>
  <c r="O56" i="2" s="1"/>
  <c r="E40" i="2"/>
  <c r="O40" i="2" s="1"/>
  <c r="E24" i="2"/>
  <c r="O24" i="2" s="1"/>
  <c r="E8" i="2"/>
  <c r="O8" i="2" s="1"/>
  <c r="O456" i="2"/>
  <c r="O472" i="2"/>
  <c r="O448" i="2"/>
  <c r="O176" i="2"/>
  <c r="O160" i="2"/>
  <c r="O112" i="2"/>
  <c r="O368" i="2"/>
  <c r="O408" i="2"/>
  <c r="E421" i="2" l="1"/>
  <c r="O421" i="2" s="1"/>
  <c r="E38" i="2"/>
  <c r="O38" i="2" s="1"/>
  <c r="O118" i="2"/>
  <c r="O47" i="2"/>
  <c r="E463" i="2"/>
  <c r="O463" i="2" s="1"/>
  <c r="O400" i="2"/>
  <c r="O159" i="2"/>
  <c r="O32" i="2"/>
  <c r="E192" i="2"/>
  <c r="O192" i="2" s="1"/>
  <c r="E207" i="2"/>
  <c r="O207" i="2" s="1"/>
  <c r="O127" i="2"/>
  <c r="E31" i="2"/>
  <c r="O31" i="2" s="1"/>
</calcChain>
</file>

<file path=xl/sharedStrings.xml><?xml version="1.0" encoding="utf-8"?>
<sst xmlns="http://schemas.openxmlformats.org/spreadsheetml/2006/main" count="615" uniqueCount="512">
  <si>
    <t>Dr.Bakhtari, LD</t>
  </si>
  <si>
    <t>Dr. Schurig, Hauenstein</t>
  </si>
  <si>
    <t>Dr. Koenen, Bad Dürkheim</t>
  </si>
  <si>
    <t>Gerald Schmidtke, LU</t>
  </si>
  <si>
    <t>Dres. Vetter, Baden-Baden</t>
  </si>
  <si>
    <t>Dr. Kath, BAD</t>
  </si>
  <si>
    <t>Dr. Reiff, Metzingen</t>
  </si>
  <si>
    <t>Dres. Graneis/ Schüle-Braun</t>
  </si>
  <si>
    <t>Dr. Stadtmüller, Magstadt</t>
  </si>
  <si>
    <t>Labouvie, Wangen</t>
  </si>
  <si>
    <t>Dr. Golling, St. Leon</t>
  </si>
  <si>
    <t>Dr.Bachmann/ Herting, Arnsberg</t>
  </si>
  <si>
    <t>Luxem/Spahn, Soest</t>
  </si>
  <si>
    <t>Dres. Rieger-M./ Pfeiffer, H</t>
  </si>
  <si>
    <t>Hamann/Klemm/ Brünner, H</t>
  </si>
  <si>
    <t>Dr. Räuker, Stadthagen</t>
  </si>
  <si>
    <t>Dr. Seeber, Leer</t>
  </si>
  <si>
    <t>Dr. Besuden, Leer</t>
  </si>
  <si>
    <t>Dr. Nehrig, Wiesmoor</t>
  </si>
  <si>
    <t>Dr. Brinkmann, Moormerl.+W</t>
  </si>
  <si>
    <t>Dres. Demeler/ Winter, HB</t>
  </si>
  <si>
    <t>Dr. Tegtmeier, HB-Nord</t>
  </si>
  <si>
    <t>G. Lorentz, Kiel</t>
  </si>
  <si>
    <t>Dr. Tiroke, Kiel</t>
  </si>
  <si>
    <t>Dr. Gabert/Fuchs, HB-Nord</t>
  </si>
  <si>
    <t>Dres. Völker, HB</t>
  </si>
  <si>
    <t>F.Heidorn, Bösel</t>
  </si>
  <si>
    <t>Dr.Ch. Herrmann, Hatten</t>
  </si>
  <si>
    <t>Dr. Bretschneider, Remels</t>
  </si>
  <si>
    <t>Dr. W. Ensle, Tuttlingen</t>
  </si>
  <si>
    <t>Michael Prömper, Sprendlingen</t>
  </si>
  <si>
    <t>Ralph Reck, OL</t>
  </si>
  <si>
    <t>Ruck-Knörzer, PF</t>
  </si>
  <si>
    <t>Dres. Krause, RT</t>
  </si>
  <si>
    <t>Dres.Pfeilsticker/Ginader,CW</t>
  </si>
  <si>
    <t>Dr. Hupfauf/Matt,Westerstetten</t>
  </si>
  <si>
    <t>Dres. Küther, Langenau</t>
  </si>
  <si>
    <t>St. Martins Apotheke</t>
  </si>
  <si>
    <t>Dres. Nübel, RT</t>
  </si>
  <si>
    <t>Dr.Spellenberg, Bad Urach</t>
  </si>
  <si>
    <t>Dr. Jünemann , Filderstadt</t>
  </si>
  <si>
    <t>Apotheke AlbDonau, Ehingen</t>
  </si>
  <si>
    <t>Dres. Bretschneider/Karitzky/V.</t>
  </si>
  <si>
    <t>Stetter-Schroth, Ehingen</t>
  </si>
  <si>
    <t>Dres.Diesch/Neusser/Miller,FN</t>
  </si>
  <si>
    <t>Dr. Rettig, FN</t>
  </si>
  <si>
    <t>Dr. Böhner, Meckenbeuren</t>
  </si>
  <si>
    <t>Dr. Bretzel, Tettnang</t>
  </si>
  <si>
    <t>Dr. Domeyer, Überlingen</t>
  </si>
  <si>
    <t>Dr. Hillebrandt, Owingen</t>
  </si>
  <si>
    <t>Dres.Krabbe/Burth,Stockach</t>
  </si>
  <si>
    <t>Drs.Ludwig/ Wild,Stockach</t>
  </si>
  <si>
    <t>AsA Consulting</t>
  </si>
  <si>
    <t>Dr. S.Küster, KA</t>
  </si>
  <si>
    <t>Wunderlich, Alzey</t>
  </si>
  <si>
    <t>Dr.Müller, Radiologe LU</t>
  </si>
  <si>
    <t>Trimedic, KA</t>
  </si>
  <si>
    <t>AsA AG</t>
  </si>
  <si>
    <t>Dres. Leitritz, Ochsenhausen</t>
  </si>
  <si>
    <t xml:space="preserve">Dr. Thalhammer, BC </t>
  </si>
  <si>
    <t>Dr. Fürst, Bad Wurzach</t>
  </si>
  <si>
    <t>Dr. Kuhn. Bad Wurzach</t>
  </si>
  <si>
    <t>Dr. Pflanzagl, Bad Wurzach</t>
  </si>
  <si>
    <t>Dr. Maderner, Mengen</t>
  </si>
  <si>
    <t>A. Fischer, Mengen</t>
  </si>
  <si>
    <t>Dr. Selbherr, Mengen</t>
  </si>
  <si>
    <t>Dres. Riehle/ Mader,Schemm.</t>
  </si>
  <si>
    <t>Dr. Spitzmüller, Allmendingen</t>
  </si>
  <si>
    <t>Dres. Kolandt/Koßbiehl,Eh.</t>
  </si>
  <si>
    <t>Dr. Schlegel/Bangert, Ochsenh</t>
  </si>
  <si>
    <t>Dr. Bickel, Pforzheim</t>
  </si>
  <si>
    <t>Dres. Holzäpfel, Winnenden</t>
  </si>
  <si>
    <t>Dr. Nopper, Stuttg.</t>
  </si>
  <si>
    <t>Dres. Dipper, Stuttg.</t>
  </si>
  <si>
    <t>Claudia Kupfer, Stuttg.</t>
  </si>
  <si>
    <t>Dr. Pioch, Stuttg.</t>
  </si>
  <si>
    <t>Dr. Bischoff, LE</t>
  </si>
  <si>
    <t>Schreiber/Dippon/ , Stuttg.</t>
  </si>
  <si>
    <t>Dr. Kern-Benz, Stuttgart</t>
  </si>
  <si>
    <t>Dr. Th.Martin, Stuttg.</t>
  </si>
  <si>
    <t>Dr. Mao, Stuttg-Weilimdorf</t>
  </si>
  <si>
    <t>Drs. De Jager/Schwarz, FDS</t>
  </si>
  <si>
    <t>Köllhofer/ Dr.Storsberg,CW</t>
  </si>
  <si>
    <t>Dr. Schönit, Rastatt</t>
  </si>
  <si>
    <t>Dr. Püttbach,Bühl</t>
  </si>
  <si>
    <t>Dr. Voucko-Glockner, KA</t>
  </si>
  <si>
    <t>Dr. Wulff, Sülfeld</t>
  </si>
  <si>
    <t>Dr. Minkoley, Bad Segeberg</t>
  </si>
  <si>
    <t>Dr. Timme/Grefen, SE</t>
  </si>
  <si>
    <t>Drs.Hoffmann/Brinkmann,HL</t>
  </si>
  <si>
    <t>Dr. H.Harder/ Doering, HH</t>
  </si>
  <si>
    <t>Dr. Niewerth, HH</t>
  </si>
  <si>
    <t>Ruhl/ Dr. Tiehl, HH</t>
  </si>
  <si>
    <t>Dr. Drews, Mölln</t>
  </si>
  <si>
    <t>Susanne Brinkmann, Lübeck</t>
  </si>
  <si>
    <t>Dr. Bruder, Lilienthal</t>
  </si>
  <si>
    <t>H.-P. Deitschun, ROW</t>
  </si>
  <si>
    <t>Hißnauer/Pape/Schneider</t>
  </si>
  <si>
    <t>Dr. Martin, Soltau</t>
  </si>
  <si>
    <t>Dr. Möring, Soltau</t>
  </si>
  <si>
    <t>Dr. Elam , Soltau</t>
  </si>
  <si>
    <t>Drs. Weimer/Pfeiffer, Reinfeld</t>
  </si>
  <si>
    <t>Dres. Öncü, HH</t>
  </si>
  <si>
    <t>Dr. Schwiethal/Tolksdorf,Ster</t>
  </si>
  <si>
    <t>U. Eltner-Goblitschke</t>
  </si>
  <si>
    <t>Drs. Ohlberg/ Wick, Lüneburg</t>
  </si>
  <si>
    <t>Dr. Klaus Lukow, Lüneburg</t>
  </si>
  <si>
    <t>Dr. Gutmann, March</t>
  </si>
  <si>
    <t>Dr. Rudolph, March</t>
  </si>
  <si>
    <t>Dr. Kalchthaler, Breisach</t>
  </si>
  <si>
    <t>Dr. Zeller, FR</t>
  </si>
  <si>
    <t>Dr. Ohm, DA</t>
  </si>
  <si>
    <t>Dr.v.Schreckenstein, Überl.</t>
  </si>
  <si>
    <t>Dr. Hauser-Tillmann, Markdorf</t>
  </si>
  <si>
    <t>Dres.Blum/ Traum,Riederich</t>
  </si>
  <si>
    <t>Dr. Röhm, Reutlingen</t>
  </si>
  <si>
    <t>Dres.Hahn/Gaens, Metzingen</t>
  </si>
  <si>
    <t>Dr. Renzel, Dettingen</t>
  </si>
  <si>
    <t>Dr. Müller-Schwefe, Göppingen</t>
  </si>
  <si>
    <t>Drs.Kraus-Schröter/ Muck</t>
  </si>
  <si>
    <t>Dres. Kriel/ Ruland, Korntal</t>
  </si>
  <si>
    <t>Dr. Zirnstein, Langgöns</t>
  </si>
  <si>
    <t>Dr. Hellwege, Edewecht</t>
  </si>
  <si>
    <t>Ralf Zimmermann, Wiesmoor</t>
  </si>
  <si>
    <t>Schülken, Lilienthal</t>
  </si>
  <si>
    <t>Dres.Onken/Schultz/Thoma,HB</t>
  </si>
  <si>
    <t>R. Radjai, KA</t>
  </si>
  <si>
    <t>Dres. Beck/Hermann,RT</t>
  </si>
  <si>
    <t>Dres. Schmidt/ Riethmüller, RT</t>
  </si>
  <si>
    <t>Dres.Rauscher/Steinert, RT</t>
  </si>
  <si>
    <t>Dr. Tardel, Stuttg.</t>
  </si>
  <si>
    <t>Dres. Beckenbauer/ Fedel, BB</t>
  </si>
  <si>
    <t>Dres. Scheifele, Steinenbronn</t>
  </si>
  <si>
    <t>Dr. Wiest, Münsingen</t>
  </si>
  <si>
    <t>Dr. Wörz, Münsingen</t>
  </si>
  <si>
    <t>Dr. Heller , Denzlingen</t>
  </si>
  <si>
    <t>Andre-Nimrich, Schallstadt</t>
  </si>
  <si>
    <t>Dres. Rieker, Lauffen</t>
  </si>
  <si>
    <t>Dr. Spahn, FN</t>
  </si>
  <si>
    <t>Dr. Exner, Tettnang</t>
  </si>
  <si>
    <t>Dr. Walter, Ehingen</t>
  </si>
  <si>
    <t>Gubisch/ Niklasch-Gubisch</t>
  </si>
  <si>
    <t>Dr. Kapp, Aalen</t>
  </si>
  <si>
    <t>Dr. H. Mahler,Schw.Gmünd</t>
  </si>
  <si>
    <t>Dres.Wunberg/ Luib, RT</t>
  </si>
  <si>
    <t>Dr. Autenrieth, Metzingen</t>
  </si>
  <si>
    <t>Herzsport Gomaringen</t>
  </si>
  <si>
    <t>Dr. Kreisel, RT</t>
  </si>
  <si>
    <t>Dres. Wiesenberg, Lahr</t>
  </si>
  <si>
    <t>Dres. Wichert/ Conrad, DEL</t>
  </si>
  <si>
    <t>Stammer/ Laube, Wennigsen</t>
  </si>
  <si>
    <t>Dres.Beindorff/ Koch-Wag., H</t>
  </si>
  <si>
    <t>Böhm-Behrendt, Nienburg</t>
  </si>
  <si>
    <t>Dr. Lindenthal, Hollen</t>
  </si>
  <si>
    <t>Rühle-Klingenstein, Uplengen</t>
  </si>
  <si>
    <t>Dr. Löwe, Walldürn</t>
  </si>
  <si>
    <t>Dr. P. Franz, Gerabronn</t>
  </si>
  <si>
    <t>B.Naumann, Bad Mergentheim</t>
  </si>
  <si>
    <t>Dr. Neussel, TÜ</t>
  </si>
  <si>
    <t>Friedrich Hudek, Obermarchtal</t>
  </si>
  <si>
    <t>R. Majorana, Ludwigsburg</t>
  </si>
  <si>
    <t>Dr.Buderer, Bietigheim-B.</t>
  </si>
  <si>
    <t>Dr. Barthel, Münchingen</t>
  </si>
  <si>
    <t>Dres. Eber/ Steck, Heilbronn</t>
  </si>
  <si>
    <t>Dr. Förderer, Kirchardt</t>
  </si>
  <si>
    <t>Fam.Praxis Merkel, LU</t>
  </si>
  <si>
    <t>Christel Kügler, Siebeldingen</t>
  </si>
  <si>
    <t>Praxis Günther,76756 Bellheim</t>
  </si>
  <si>
    <t>Dr. Rahmann, DÜW</t>
  </si>
  <si>
    <t>Hilschenz-Bucher, Stuttg.</t>
  </si>
  <si>
    <t>Dr. Mittnacht, Rot</t>
  </si>
  <si>
    <t>Dr. Thierjung, Rot</t>
  </si>
  <si>
    <t>Dres.Soballa/Erhard, Hocken</t>
  </si>
  <si>
    <t>Dr. Korth, Heidelberg</t>
  </si>
  <si>
    <t>Dr. Schiek, Wiesloch</t>
  </si>
  <si>
    <t>Dr. Link, Überlingen</t>
  </si>
  <si>
    <t>Dr. Kopatz, Überlingen</t>
  </si>
  <si>
    <t>I. Kraemer, Bad Schussenried</t>
  </si>
  <si>
    <t>H.Sachs, Altshausen</t>
  </si>
  <si>
    <t>Dres. Lipke, Bad Buchau</t>
  </si>
  <si>
    <t>Dr. Klingmann, Pfinztal</t>
  </si>
  <si>
    <t>Dr. Schäufele, Iffezheim</t>
  </si>
  <si>
    <t>Dres. Bous/Heitkamp, Lünen</t>
  </si>
  <si>
    <t>A. Kreitling-Thomas, Lotte</t>
  </si>
  <si>
    <t>Dr. Gleich, Löhne</t>
  </si>
  <si>
    <t>Dr. B. Roshop, Barnstorf</t>
  </si>
  <si>
    <t>Dr. Brauneck, Barnstorf</t>
  </si>
  <si>
    <t>Dres. Arlt/ Leibecke, HB</t>
  </si>
  <si>
    <t>Dr. Dieszbrock, Delmenhorst</t>
  </si>
  <si>
    <t>Dres. v.Velsen/Boman-Helms</t>
  </si>
  <si>
    <t>Dr. Rosenstein, Asendorf</t>
  </si>
  <si>
    <t>Dr.Weil, Bünde</t>
  </si>
  <si>
    <t>Dres. Enders/Möller, Ostercappeln</t>
  </si>
  <si>
    <t>Dr. Sayegh, Dissen</t>
  </si>
  <si>
    <t>Dres. Zunker/ Möller, Mölln</t>
  </si>
  <si>
    <t>Dres. Burhorn/Ruthke, RZ</t>
  </si>
  <si>
    <t>Petra+Werner Puls, RZ</t>
  </si>
  <si>
    <t>Dr. Steinfatt, Ahrensburg</t>
  </si>
  <si>
    <t>Dr. Caglar, HH</t>
  </si>
  <si>
    <t>Dr.Dirksen, Kiel</t>
  </si>
  <si>
    <t>Dr. Dörhage, Molfsee</t>
  </si>
  <si>
    <t>Dr. Eschenbach, Heikendorf</t>
  </si>
  <si>
    <t>Dres. Bockhorst/ Dominicus</t>
  </si>
  <si>
    <t>Prüfarztzentrum, Derma</t>
  </si>
  <si>
    <t>Elke Lerch, Dülmen</t>
  </si>
  <si>
    <t>Dr. Grellmann, Blaustein</t>
  </si>
  <si>
    <t>Dr.Hepp-Müller, Ulm</t>
  </si>
  <si>
    <t>Dr. Förstner, Ulm</t>
  </si>
  <si>
    <t>Dr. Steinmacher, Ulm</t>
  </si>
  <si>
    <t>Dr. Stoschek/ Paiss, Ulm</t>
  </si>
  <si>
    <t>Dr.F.Heim, Ulm</t>
  </si>
  <si>
    <t>Dr. Stückle, Ammerbuch</t>
  </si>
  <si>
    <t>Dr. Berger, Pfäffingen</t>
  </si>
  <si>
    <t>Dr. A. Dinkler-Evers, Rottenb.</t>
  </si>
  <si>
    <t>Dres. Albrecht/Kübel, RT</t>
  </si>
  <si>
    <t>Dr. W. Kral, Vaihingen</t>
  </si>
  <si>
    <t>Dr. Bühl, Ditzingen</t>
  </si>
  <si>
    <t>Dr. B. Wuttge-Barth</t>
  </si>
  <si>
    <t>Gabler-Apotheke, Ochsenh.</t>
  </si>
  <si>
    <t>Mathias Koch, Öpfingen</t>
  </si>
  <si>
    <t>Tatjana Moor, Erbach</t>
  </si>
  <si>
    <t>Krechlak/Kunze/Dr.Traeger</t>
  </si>
  <si>
    <t>Dres. Lang, Simmozheim</t>
  </si>
  <si>
    <t>Dr. Zwisler, Albstadt</t>
  </si>
  <si>
    <t>Dr. Stekeler, Hechingen</t>
  </si>
  <si>
    <t>Dr. Czempiel, Albstadt</t>
  </si>
  <si>
    <t>Dr. Heinemann, Nürtingen</t>
  </si>
  <si>
    <t>Dr. Bihlmaier, Römerstein</t>
  </si>
  <si>
    <t>Dr. Burkhard, Waldshut</t>
  </si>
  <si>
    <t>Dr. Wolf, Waldshut</t>
  </si>
  <si>
    <t>Brumm/ Dr.Grüter, Weil</t>
  </si>
  <si>
    <t>Peter Rapp, Weil</t>
  </si>
  <si>
    <t>Dr. Wiehn, Waldshut</t>
  </si>
  <si>
    <t xml:space="preserve">Dr. Forche, LU          </t>
  </si>
  <si>
    <t>Dr. Thumulka, KA</t>
  </si>
  <si>
    <t>Dr. Kochendoerfer, KA</t>
  </si>
  <si>
    <t>Dr. A. Kaiser, Stuttgart</t>
  </si>
  <si>
    <t>Dr. Schätzle, Stuttg.</t>
  </si>
  <si>
    <t>R.Kaiser HNO, Schifferstadt</t>
  </si>
  <si>
    <t>Drs.Parker/ Allgäuer, RA</t>
  </si>
  <si>
    <t>Dres.Kienle/Ritter, Stockach</t>
  </si>
  <si>
    <t>Prof.Dr. Kerp, Freiburg</t>
  </si>
  <si>
    <t>Dr. Puf-Schott, Titisee</t>
  </si>
  <si>
    <t>Dr. Lüdecke, Olpe</t>
  </si>
  <si>
    <t>v.d.Haar/ Dr. Bergner, Dülmen</t>
  </si>
  <si>
    <t>Dres. Bauer, Barnstorf</t>
  </si>
  <si>
    <t>Dialyse Centrum Cuxhaven</t>
  </si>
  <si>
    <t>Dr.Schuler, FR</t>
  </si>
  <si>
    <t>Dr. Haag-Wildi, Müllheim</t>
  </si>
  <si>
    <t>Dr. Behnke, Müllheim</t>
  </si>
  <si>
    <t>Dr. Schubert, FN</t>
  </si>
  <si>
    <t>Dres. Erichsen&amp;Koll., FN</t>
  </si>
  <si>
    <t>Dr. Weng, FN</t>
  </si>
  <si>
    <t>Dr. Speidel/ Schmid, Ulm</t>
  </si>
  <si>
    <t>Dr.Neuwinger, Neustadt</t>
  </si>
  <si>
    <t>Dr. Heib, Pirmasens</t>
  </si>
  <si>
    <t>Dr. Haag, Waghäusel</t>
  </si>
  <si>
    <t>Dr. Weinmann, Bammental</t>
  </si>
  <si>
    <t>Dr. Wagner , HD-Kirchheim</t>
  </si>
  <si>
    <t>Dr.Helfrich, MA</t>
  </si>
  <si>
    <t>Dr.Morsch-Mayer, NW</t>
  </si>
  <si>
    <t>Dr.S. Roos, Rheinfelden</t>
  </si>
  <si>
    <t>Dr. Umbach, Waldshut</t>
  </si>
  <si>
    <t>Dr. Baur/ Schwab, Leutkirch</t>
  </si>
  <si>
    <t>Dr. Foerster, Leutkirch</t>
  </si>
  <si>
    <t>Dr. Walther, Leutkirch</t>
  </si>
  <si>
    <t>Dr. Naschold, Isny</t>
  </si>
  <si>
    <t>Dr. Reinhuber, Wangen</t>
  </si>
  <si>
    <t>Dr. Pfister, Weingarten</t>
  </si>
  <si>
    <t>Dr. Suhayda, Leutkirch</t>
  </si>
  <si>
    <t>Dr. Baldenhofer, Wangen</t>
  </si>
  <si>
    <t>Dres. Walker/Kranz,Wangen</t>
  </si>
  <si>
    <t>Dr. Groß, Isny</t>
  </si>
  <si>
    <t>Dr. Kolwe, Isny</t>
  </si>
  <si>
    <t>Dr. Morgen, Isny</t>
  </si>
  <si>
    <t>Urol.Praxis Dr. Peter, Isny</t>
  </si>
  <si>
    <t>Ärztezentrum Leutkirch</t>
  </si>
  <si>
    <t>Dr. Rothermel, Isny</t>
  </si>
  <si>
    <t>Dr. Wohnhas, Albstadt</t>
  </si>
  <si>
    <t>Dr. Hunting, Zweibrücken</t>
  </si>
  <si>
    <t>Dr. Eccard, Ebersbach</t>
  </si>
  <si>
    <t>Dr. Hillje, Bad Zwischenahn</t>
  </si>
  <si>
    <t>Dr.M. Riegel, Remels</t>
  </si>
  <si>
    <t>Plexxon , Westerstede+Gand</t>
  </si>
  <si>
    <t>HNO Schicke, Maxdorf</t>
  </si>
  <si>
    <t>Drs.Gerlach/ Woiton/ Exner, H</t>
  </si>
  <si>
    <t>Dres. Heß/Stadge, Oberkirch</t>
  </si>
  <si>
    <t>Dr. Tschürtz, Kirchheim</t>
  </si>
  <si>
    <t>Dres.Kahrs/ Kuba</t>
  </si>
  <si>
    <t>Kinderzentrum, Münsingen</t>
  </si>
  <si>
    <t>Dr.Dohm, FN</t>
  </si>
  <si>
    <t>Dr. Haag, Bad Wildbad</t>
  </si>
  <si>
    <t>Dr.Steiner, Lauchringen</t>
  </si>
  <si>
    <t>Dr.Meistermann, Überlingen</t>
  </si>
  <si>
    <t>KSC Jugend, E.Becker, KA</t>
  </si>
  <si>
    <t>Dr.Heinz, Nußloch</t>
  </si>
  <si>
    <t>K. Braband, HB</t>
  </si>
  <si>
    <t>Dr. Wawersig, Weinheim</t>
  </si>
  <si>
    <t>Drs.v.Pfeil/Baumgärtel, RT</t>
  </si>
  <si>
    <t>Drs.Curschmann, Prax LU</t>
  </si>
  <si>
    <t>Dr. Otto, Wolfsburg</t>
  </si>
  <si>
    <t>Dr. Steinhauser, KA</t>
  </si>
  <si>
    <t>Dr.Potzler, FR</t>
  </si>
  <si>
    <t>MVZ Alb/Donau, Ehingen</t>
  </si>
  <si>
    <t>Dr. Huss, Bad Saulgau</t>
  </si>
  <si>
    <t>Dr.Frank-Ermuth, Lahr</t>
  </si>
  <si>
    <t>Ergotherapie Strittmatter,Wangen</t>
  </si>
  <si>
    <t>Drs.Vetter/ Pischel, Radolfzell</t>
  </si>
  <si>
    <t>Dr.M.Beckmann, HH</t>
  </si>
  <si>
    <t>M. Pross, Stuttgart</t>
  </si>
  <si>
    <t>agm , Mannheim</t>
  </si>
  <si>
    <t>Dr. Mattar, Überlingen</t>
  </si>
  <si>
    <t>Drs. Küster, HN</t>
  </si>
  <si>
    <t>Drs. Joachim/ Zerfeld, GER</t>
  </si>
  <si>
    <t>Dr. Hanser, Schallstadt</t>
  </si>
  <si>
    <t>Dr.Bojti, Rheinfelden</t>
  </si>
  <si>
    <t>Drs. Weller/Faulhaber, Gmünd</t>
  </si>
  <si>
    <t>Dr.Mehlem, LU</t>
  </si>
  <si>
    <t>Dr. Kyrberg, LU</t>
  </si>
  <si>
    <t>Dettmann, MA</t>
  </si>
  <si>
    <t>Dres. Maaßen, Eichstetten</t>
  </si>
  <si>
    <t>Dr.Oberfranz, LU</t>
  </si>
  <si>
    <t>K. Leschke/ Lakatos,LU</t>
  </si>
  <si>
    <t>Dr.de Vleeschauwer, SP</t>
  </si>
  <si>
    <t>N. Kurz, Gammertingen</t>
  </si>
  <si>
    <t>Kempe/ Stemler, LU</t>
  </si>
  <si>
    <t>Dr. Sutter, Münstertal</t>
  </si>
  <si>
    <t>gekündigt</t>
  </si>
  <si>
    <t>ich</t>
  </si>
  <si>
    <t>Drs.Krebber/Göpfrich,Rastatt</t>
  </si>
  <si>
    <t>Dres.Decker/Münsch, Weingarten</t>
  </si>
  <si>
    <t>Dr.Schreiner, KH</t>
  </si>
  <si>
    <t>Dr.Wunderlich, Lorch</t>
  </si>
  <si>
    <t>Dr. Schröder, Lahr</t>
  </si>
  <si>
    <t>Steuer Kern, AZ</t>
  </si>
  <si>
    <t>Nuber-Sailer, Ochsenhausen</t>
  </si>
  <si>
    <t>Augenz.Kraichgau</t>
  </si>
  <si>
    <t>Dr. Hesse , Lahr</t>
  </si>
  <si>
    <t>J. Werz , Lahr</t>
  </si>
  <si>
    <t>Kardio Dr.Stroh, Wurzach</t>
  </si>
  <si>
    <t>Be Active, Bad Wurzach</t>
  </si>
  <si>
    <t>Nuber-Sailer Kosm.Ochs</t>
  </si>
  <si>
    <t>Dr. Zotzmann, Mengen</t>
  </si>
  <si>
    <t>Dr. Boetticher, Lahr</t>
  </si>
  <si>
    <t>Dr. Wehner, Lahr</t>
  </si>
  <si>
    <t>Dr. Zocher, Landstuhl</t>
  </si>
  <si>
    <t>Dr. Bott , Soltau</t>
  </si>
  <si>
    <t>Dr. Langbein, Überlingen</t>
  </si>
  <si>
    <t>Nikolajewski, Remseck</t>
  </si>
  <si>
    <t>Uwe Hinz, Leonberg</t>
  </si>
  <si>
    <t>Manfred Schraeder, S-Stammheim</t>
  </si>
  <si>
    <t>J. Bucher, Stuttgart</t>
  </si>
  <si>
    <t>Institut Bergatreute</t>
  </si>
  <si>
    <t>Dr. Kusserow-Napp, HB</t>
  </si>
  <si>
    <t>DLRG Cuxhaven</t>
  </si>
  <si>
    <t>Dr. Glaser, Leimen</t>
  </si>
  <si>
    <t>PD Dr. Friedrich, HD</t>
  </si>
  <si>
    <t>Tannenhof Heim Ulm</t>
  </si>
  <si>
    <t>Dr. Potrafke, Stuttgart</t>
  </si>
  <si>
    <t>HebA Özen MA</t>
  </si>
  <si>
    <t>Dr. Haupt, Friesoythe</t>
  </si>
  <si>
    <t>Drs.Wagner/ Glätzer, Östring</t>
  </si>
  <si>
    <t>Dr. Ritter, St.Leon</t>
  </si>
  <si>
    <t>Bodensee-Sportklinik, FN</t>
  </si>
  <si>
    <t>Physiotherapie Diesch,FN</t>
  </si>
  <si>
    <t>Dr. Abel, Löningen</t>
  </si>
  <si>
    <t>Dr. Thiele, Bruchsal/ Bretten</t>
  </si>
  <si>
    <t>C.Steinfatt, Trittau</t>
  </si>
  <si>
    <t>Dr. Kilzer, Wöllstein</t>
  </si>
  <si>
    <t>M. Kammer, Hockenheim</t>
  </si>
  <si>
    <t>K.M. Friedsam, TÜ</t>
  </si>
  <si>
    <t>Dr. Sarrasch , Lahr</t>
  </si>
  <si>
    <t>Dr. Ninios, Lauchringen</t>
  </si>
  <si>
    <t>Dr. Schinke, HD</t>
  </si>
  <si>
    <t>AOK, Neckar-Fils BW</t>
  </si>
  <si>
    <t>Svetlana Bruk, Birkenheide</t>
  </si>
  <si>
    <t>Dr. Boeke, Schriesheim</t>
  </si>
  <si>
    <t>Dr. Gensicke, GÖ</t>
  </si>
  <si>
    <t>Möbus, Maria Thann</t>
  </si>
  <si>
    <t>Lieser, Kisslegg</t>
  </si>
  <si>
    <t>Weiland-Laubheimer, Bad Waldsee</t>
  </si>
  <si>
    <t>Angele, Eberhardzell</t>
  </si>
  <si>
    <t>Rotzler, Leutkirch</t>
  </si>
  <si>
    <t>Kirsner, Wangen</t>
  </si>
  <si>
    <t>Förster, Bad Waldsee</t>
  </si>
  <si>
    <t>Augenz.Bremen Pappelstr</t>
  </si>
  <si>
    <t>Dr.Winter , HB-Walle</t>
  </si>
  <si>
    <t>2jährlich</t>
  </si>
  <si>
    <t>böse</t>
  </si>
  <si>
    <t>MVZ</t>
  </si>
  <si>
    <t>Neumüller, Hockenheim</t>
  </si>
  <si>
    <t>Dr. Ebensperger, Ebersbach</t>
  </si>
  <si>
    <t>Fr.Dr.G.Mahler,Schw.Gmünd</t>
  </si>
  <si>
    <t>Dr. S. Dietrich, S-Zuffenh.</t>
  </si>
  <si>
    <t>Dr. Rieth, Besigheim</t>
  </si>
  <si>
    <t>Wimmershof-Rieth, Besigheim</t>
  </si>
  <si>
    <t>MVZ Buderer, Besigheim</t>
  </si>
  <si>
    <t>Dr. Knöbber, ZW</t>
  </si>
  <si>
    <t>Augenz.Bremen-Arbergen</t>
  </si>
  <si>
    <t>S. Niendieker, Lotte</t>
  </si>
  <si>
    <t>Dr. Egeling, HB-Lesum</t>
  </si>
  <si>
    <t>Dr.Beck/ Schwarz, Maxdorf</t>
  </si>
  <si>
    <t>Marien Apotheke, Ehingen</t>
  </si>
  <si>
    <t>Alpha Apotheke, Ehingen</t>
  </si>
  <si>
    <t>Drs. Beller/ Ruffer, TÜ</t>
  </si>
  <si>
    <t>Drs. Braun/Thorns/Alvarez,Lübeck</t>
  </si>
  <si>
    <t>Mathias Misselwitz, Lilienthal</t>
  </si>
  <si>
    <t>gestorben</t>
  </si>
  <si>
    <t>unwillig</t>
  </si>
  <si>
    <t>Nachfolger</t>
  </si>
  <si>
    <t>Rente</t>
  </si>
  <si>
    <t>Dres.Breitinger/ Stroebele, Rotte.</t>
  </si>
  <si>
    <t>Dr Falkenstein, NW</t>
  </si>
  <si>
    <t>Dr.Grimme, Rastatt</t>
  </si>
  <si>
    <t>Dr. Leisen, HD</t>
  </si>
  <si>
    <t>Dr. Göthe, Leimen</t>
  </si>
  <si>
    <t>Dr.G.Müller, Niederzier</t>
  </si>
  <si>
    <t>Fei Lu, Ludwigshafen</t>
  </si>
  <si>
    <t>Dr. S. Walter, Lahr</t>
  </si>
  <si>
    <t>Autohaus Matthias Grawe</t>
  </si>
  <si>
    <t>nein</t>
  </si>
  <si>
    <t>verstorben</t>
  </si>
  <si>
    <t>Scheller,Bermatingen</t>
  </si>
  <si>
    <t>Dr. Kemmerich, Weinstadt</t>
  </si>
  <si>
    <t>Pro Derma, Dülmen</t>
  </si>
  <si>
    <t>Dr. Liebetanz, GÖ</t>
  </si>
  <si>
    <t>Dr. Riekenberg, Soltau</t>
  </si>
  <si>
    <t>Dr. H.Neuwinger,Edenkoben</t>
  </si>
  <si>
    <t>Drs.Mannschreck/ Sam, Schorndorf</t>
  </si>
  <si>
    <t>MVZ Ortenau Gengenbach</t>
  </si>
  <si>
    <t>MVZ Ortenau Zell am Herm</t>
  </si>
  <si>
    <t>Praxis Sandstr., FR</t>
  </si>
  <si>
    <t>Lennart Walker, TÜ</t>
  </si>
  <si>
    <t>Meltem Noori, Ludwigsburg</t>
  </si>
  <si>
    <t>Dr. Ostovic , LU</t>
  </si>
  <si>
    <t>Christiane Lenzen,Wangen</t>
  </si>
  <si>
    <t>Dres.Peter/ Werner, Rastatt</t>
  </si>
  <si>
    <t>Merkel, LU-MVZ Kurpfalz</t>
  </si>
  <si>
    <t>Dr.Gjihollaj, Ebersbach</t>
  </si>
  <si>
    <t>A.Blumenberg, Leer</t>
  </si>
  <si>
    <t>Dr. Hädicke ,Wiesmoor</t>
  </si>
  <si>
    <t>Dr. Günther, Bad Segederg</t>
  </si>
  <si>
    <t>Buderer Group, Freiberg</t>
  </si>
  <si>
    <t>Buderer Group, Ludwigsburg</t>
  </si>
  <si>
    <t>Augenlaser Pfalz, LU</t>
  </si>
  <si>
    <t>Dres Brandt/ Brinkmann</t>
  </si>
  <si>
    <t>J. Thiemann, HB-Vahr</t>
  </si>
  <si>
    <t>Drs.Boettcher/Höller, Rickenbach</t>
  </si>
  <si>
    <t>Praxisgem.Lilienthal/Kessler/Heupel</t>
  </si>
  <si>
    <t>Dres. Ortmann /Krah/Wirt, HF</t>
  </si>
  <si>
    <t>hat angerufen</t>
  </si>
  <si>
    <t>Dr. Zieger, S-Sillenbuch</t>
  </si>
  <si>
    <t>Dres.Köller/ Gemidji, Lahr</t>
  </si>
  <si>
    <t>Fasi</t>
  </si>
  <si>
    <t>Fasi-Vertrag</t>
  </si>
  <si>
    <t>Drs. Zöller/ Höhn, Beilstein</t>
  </si>
  <si>
    <t>Drs.Curschmann, Praxis LU BASF</t>
  </si>
  <si>
    <t>Nickel/ Dombach, Mölln</t>
  </si>
  <si>
    <t>MVZ Buderer, Ilsfeld</t>
  </si>
  <si>
    <t>MVZ Buderer, Auenstein</t>
  </si>
  <si>
    <t>Dr. Philipp, Heilbronn</t>
  </si>
  <si>
    <t>Sophienklinik, Stuttgart</t>
  </si>
  <si>
    <t>Dr. Waidelich, Metzingen</t>
  </si>
  <si>
    <t>Dr. Feise , Stuttgart</t>
  </si>
  <si>
    <t>Angestellter</t>
  </si>
  <si>
    <t>Dr. Wildi, Badenweiler</t>
  </si>
  <si>
    <t>Dr. Kock, Pforzheim</t>
  </si>
  <si>
    <t>Tierärzte Gaisbeuren, Bad Waldsee</t>
  </si>
  <si>
    <t>Gerhard Tolksdorf, RZ</t>
  </si>
  <si>
    <t>Annette Kutzner &amp; Dr. med. Marion Rogoß,Kreuznach</t>
  </si>
  <si>
    <t>ausgesetzt26</t>
  </si>
  <si>
    <t>Dr. Schmieder, Schw. Gmünd</t>
  </si>
  <si>
    <t>Dr. Metzler, TÜ</t>
  </si>
  <si>
    <t>Dr. Ludwig, Radolfzell</t>
  </si>
  <si>
    <t>Hauptsitz</t>
  </si>
  <si>
    <t>Buderer MVZ, Bietigheim Borsigstr.6</t>
  </si>
  <si>
    <t>Buderer MVZ, Brackenheim/ Meimsheim</t>
  </si>
  <si>
    <t>Dr. Elßner, Ulm</t>
  </si>
  <si>
    <t>Ramm, Kiel</t>
  </si>
  <si>
    <t>Dr. Steck/ Kraus, HB</t>
  </si>
  <si>
    <t>Dr.Kiefer,Kressbronn</t>
  </si>
  <si>
    <t>MVZ Nephrologie, OHZ</t>
  </si>
  <si>
    <t>Dr. Schwiethal/Brüderdorf, RZ</t>
  </si>
  <si>
    <t>Dres. Ewers/ Siegel, RT</t>
  </si>
  <si>
    <t>Wiese/ Saddahar, Rotenburg</t>
  </si>
  <si>
    <t>Dr. Ardelt, Münstertal</t>
  </si>
  <si>
    <t>Dres. Ullrich, Schwetzingen</t>
  </si>
  <si>
    <t>Dr. Lindenberger, Hockenheim/ GER</t>
  </si>
  <si>
    <t>hab ich gekündigt</t>
  </si>
  <si>
    <t>gekünigt</t>
  </si>
  <si>
    <t>Schlaflabor RT , Dres. Ewers/Siegel</t>
  </si>
  <si>
    <t>Kundennummer</t>
  </si>
  <si>
    <t>Namen_mit_oder_ohne_Titel_-_Eigennamen_-_Chaotisch</t>
  </si>
  <si>
    <t>Kundenstatus_1</t>
  </si>
  <si>
    <t>Kundenstatus_auch_1</t>
  </si>
  <si>
    <t>Hilfsspalte</t>
  </si>
  <si>
    <t>Hebeiß, Bietigheim</t>
  </si>
  <si>
    <t>customerNumber</t>
  </si>
  <si>
    <t>uniqueName</t>
  </si>
  <si>
    <t>title</t>
  </si>
  <si>
    <t>firstName</t>
  </si>
  <si>
    <t>lastName</t>
  </si>
  <si>
    <t>street</t>
  </si>
  <si>
    <t>houseNumber</t>
  </si>
  <si>
    <t>zipCode</t>
  </si>
  <si>
    <t>city</t>
  </si>
  <si>
    <t>state</t>
  </si>
  <si>
    <t>country</t>
  </si>
  <si>
    <t>phoneGeneral</t>
  </si>
  <si>
    <t>mobileGeneral</t>
  </si>
  <si>
    <t>status</t>
  </si>
  <si>
    <t>checkName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</si>
</sst>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sz val="9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22"/>
      </left>
      <right style="medium">
        <color indexed="22"/>
      </right>
      <top style="medium">
        <color indexed="22"/>
      </top>
      <bottom style="medium">
        <color indexed="22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49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0" fontId="5" fillId="0" borderId="0" xfId="0" applyFont="1"/>
    <xf numFmtId="0" fontId="0" fillId="0" borderId="0" xfId="0" applyAlignment="1">
      <alignment wrapText="1"/>
    </xf>
    <xf numFmtId="0" fontId="6" fillId="0" borderId="0" xfId="0" applyFont="1" applyAlignment="1">
      <alignment vertical="center" wrapText="1"/>
    </xf>
    <xf numFmtId="0" fontId="7" fillId="0" borderId="0" xfId="0" applyFont="1"/>
    <xf numFmtId="0" fontId="3" fillId="0" borderId="0" xfId="0" applyFont="1" applyAlignment="1">
      <alignment wrapText="1"/>
    </xf>
    <xf numFmtId="0" fontId="2" fillId="0" borderId="1" xfId="0" applyFont="1" applyBorder="1"/>
    <xf numFmtId="0" fontId="4" fillId="0" borderId="1" xfId="0" applyFont="1" applyBorder="1"/>
    <xf numFmtId="0" fontId="0" fillId="0" borderId="1" xfId="0" applyBorder="1" applyAlignment="1">
      <alignment wrapText="1"/>
    </xf>
    <xf numFmtId="0" fontId="1" fillId="0" borderId="1" xfId="0" applyFont="1" applyBorder="1"/>
  </cellXfs>
  <cellStyles count="1">
    <cellStyle name="Standard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Kunden_bearbeitet_zu_mehr_Ordnu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elle1"/>
      <sheetName val="Kunden_bearbeitet_zu_mehr_Ordnu"/>
    </sheetNames>
    <sheetDataSet>
      <sheetData sheetId="0">
        <row r="241">
          <cell r="C241" t="str">
            <v>Rente</v>
          </cell>
        </row>
        <row r="243">
          <cell r="C243" t="str">
            <v>Rente</v>
          </cell>
        </row>
        <row r="246">
          <cell r="C246" t="str">
            <v>gekünigt</v>
          </cell>
        </row>
        <row r="249">
          <cell r="C249" t="str">
            <v>hab ich gekündigt</v>
          </cell>
        </row>
        <row r="254">
          <cell r="C254" t="str">
            <v>Rente</v>
          </cell>
        </row>
        <row r="264">
          <cell r="C264" t="str">
            <v>gekündigt</v>
          </cell>
        </row>
        <row r="275">
          <cell r="C275" t="str">
            <v>Heibeiß</v>
          </cell>
        </row>
        <row r="334">
          <cell r="C334" t="str">
            <v>ich</v>
          </cell>
        </row>
        <row r="340">
          <cell r="C340" t="str">
            <v>2jährlich</v>
          </cell>
        </row>
        <row r="348">
          <cell r="C348" t="str">
            <v>2jährlich</v>
          </cell>
        </row>
        <row r="363">
          <cell r="C363" t="str">
            <v>2jährlich</v>
          </cell>
        </row>
        <row r="376">
          <cell r="C376" t="str">
            <v>böse</v>
          </cell>
        </row>
        <row r="381">
          <cell r="C381" t="str">
            <v>gekündigt</v>
          </cell>
        </row>
        <row r="385">
          <cell r="C385" t="str">
            <v>MVZ</v>
          </cell>
        </row>
        <row r="386">
          <cell r="C386" t="str">
            <v>Fasi-Vertrag</v>
          </cell>
        </row>
        <row r="392">
          <cell r="C392" t="str">
            <v>Hauptsitz</v>
          </cell>
        </row>
        <row r="397">
          <cell r="C397" t="str">
            <v>2jährlich</v>
          </cell>
        </row>
        <row r="398">
          <cell r="C398" t="str">
            <v>2jährlich</v>
          </cell>
        </row>
        <row r="416">
          <cell r="C416" t="str">
            <v>Angestellter</v>
          </cell>
        </row>
        <row r="457">
          <cell r="C457" t="str">
            <v>2jährlich</v>
          </cell>
        </row>
        <row r="459">
          <cell r="C459" t="str">
            <v>gekündigt</v>
          </cell>
        </row>
        <row r="460">
          <cell r="C460" t="str">
            <v>gekündigt</v>
          </cell>
        </row>
        <row r="461">
          <cell r="C461" t="str">
            <v>ausgesetzt26</v>
          </cell>
        </row>
        <row r="462">
          <cell r="C462" t="str">
            <v>gekündigt</v>
          </cell>
        </row>
        <row r="473">
          <cell r="C473" t="str">
            <v>2jährlich</v>
          </cell>
        </row>
        <row r="474">
          <cell r="C474" t="str">
            <v>gekündigt</v>
          </cell>
        </row>
        <row r="475">
          <cell r="C475" t="str">
            <v>gekündigt</v>
          </cell>
        </row>
      </sheetData>
      <sheetData sheetId="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64F434-FF03-4C53-B590-94088BFD429C}" name="Tabelle1" displayName="Tabelle1" ref="A1:E475" totalsRowShown="0">
  <autoFilter ref="A1:E475" xr:uid="{C794F35E-FA27-4FB6-979E-4642AD7F27D9}"/>
  <sortState xmlns:xlrd2="http://schemas.microsoft.com/office/spreadsheetml/2017/richdata2" ref="A2:E475">
    <sortCondition ref="A1:A475"/>
  </sortState>
  <tableColumns count="5">
    <tableColumn id="1" xr3:uid="{00000000-0010-0000-0100-000001000000}" name="Kundennummer" dataDxfId="4"/>
    <tableColumn id="2" xr3:uid="{00000000-0010-0000-0100-000002000000}" name="Namen_mit_oder_ohne_Titel_-_Eigennamen_-_Chaotisch"/>
    <tableColumn id="3" xr3:uid="{00000000-0010-0000-0100-000003000000}" name="Kundenstatus_1"/>
    <tableColumn id="4" xr3:uid="{00000000-0010-0000-0100-000004000000}" name="Kundenstatus_auch_1"/>
    <tableColumn id="5" xr3:uid="{00000000-0010-0000-0100-000005000000}" name="Hilfsspalte">
      <calculatedColumnFormula>IF(COUNTIF($A:$A,A2)&gt;1,"DOPPELT","OK")</calculatedColumnFormula>
    </tableColumn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3A18A42-D8C4-4721-87CB-F4765215A2E2}" name="Tabelle2" displayName="Tabelle2" ref="A1:O475" totalsRowShown="0">
  <autoFilter ref="A1:O475" xr:uid="{C21B275D-6CC2-4D05-B36A-A7E6CE56CA47}"/>
  <tableColumns count="15">
    <tableColumn id="1" xr3:uid="{00000000-0010-0000-0300-000001000000}" name="customerNumber">
      <calculatedColumnFormula>Customers_0!A2</calculatedColumnFormula>
    </tableColumn>
    <tableColumn id="2" xr3:uid="{00000000-0010-0000-0300-000002000000}" name="uniqueName">
      <calculatedColumnFormula>IFERROR(MID(Customers_0!B2,1,SEARCH(",",Customers_0!B2)-1),Customers_0!B2)</calculatedColumnFormula>
    </tableColumn>
    <tableColumn id="3" xr3:uid="{00000000-0010-0000-0300-000003000000}" name="title" dataDxfId="3">
      <calculatedColumnFormula>IFERROR(
 IF(OR(
   LEFT(B2,3)="Dr.",
   LEFT(B2,2)="Dr",
   LEFT(B2,4)="Dres",
   LEFT(B2,5)="Dres.",
   LEFT(B2,4)="Prof",
   LEFT(B2,5)="Prof.",
   LEFT(B2,3)="PD ",
   LEFT(B2,7)="Priv.-D"
 ),
  LEFT(B2,SEARCH(" ",B2)-1),
  ""
 ),
"")</calculatedColumnFormula>
    </tableColumn>
    <tableColumn id="4" xr3:uid="{00000000-0010-0000-0300-000004000000}" name="firstName" dataDxfId="2">
      <calculatedColumnFormula>IFERROR(
 IF(C2="",
  "",
  IF(ISNUMBER(SEARCH(".",MID(B2,LEN(C2)+2,3))),
    MID(B2,LEN(C2)+2,2),
    ""
  )
 ),
"")</calculatedColumnFormula>
    </tableColumn>
    <tableColumn id="5" xr3:uid="{00000000-0010-0000-0300-000005000000}" name="lastName" dataDxfId="1">
      <calculatedColumnFormula>IFERROR(
 TRIM(
   IF(C2="",
        IF(ISNUMBER(SEARCH(",",B2)), LEFT(B2,SEARCH(",",B2)-1), B2),
        IF(D2="",
             TRIM(MID(B2, LEN(C2)+2, 999)),
             TRIM(MID(B2, LEN(C2&amp;" "&amp;D2)+2, 999))
        )
   )
 ),
""
)</calculatedColumnFormula>
    </tableColumn>
    <tableColumn id="6" xr3:uid="{00000000-0010-0000-0300-000006000000}" name="street"/>
    <tableColumn id="7" xr3:uid="{00000000-0010-0000-0300-000007000000}" name="houseNumber"/>
    <tableColumn id="8" xr3:uid="{00000000-0010-0000-0300-000008000000}" name="zipCode"/>
    <tableColumn id="9" xr3:uid="{00000000-0010-0000-0300-000009000000}" name="city"/>
    <tableColumn id="10" xr3:uid="{00000000-0010-0000-0300-00000A000000}" name="state"/>
    <tableColumn id="11" xr3:uid="{00000000-0010-0000-0300-00000B000000}" name="country"/>
    <tableColumn id="12" xr3:uid="{00000000-0010-0000-0300-00000C000000}" name="phoneGeneral"/>
    <tableColumn id="13" xr3:uid="{00000000-0010-0000-0300-00000D000000}" name="mobileGeneral"/>
    <tableColumn id="14" xr3:uid="{00000000-0010-0000-0300-00000E000000}" name="status">
      <calculatedColumnFormula>IF(OR(ISNUMBER(SEARCH("weg",[1]Tabelle1!C2&amp;Customers_0!D2)),
          ISNUMBER(SEARCH("gekündigt",Customers_0!C2&amp;Customers_0!D2)),
          ISNUMBER(SEARCH("rente",LOWER(Customers_0!C2&amp;Customers_0!D2)))),
   "INACTIVE",
   "ACTIVE")</calculatedColumnFormula>
    </tableColumn>
    <tableColumn id="16" xr3:uid="{1409104A-0B56-41CE-A530-57AA28FD99D7}" name="checkName" dataDxfId="0">
      <calculatedColumnFormula>IF(OR(
   ISERROR(D2),
   ISERROR(E2),
   ISNUMBER(SEARCH("/",E2)),
   ISNUMBER(SEARCH("-",E2))
 ),"PRÜFEN","OK")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7E321-1E32-48EB-B233-8BA85AC31171}">
  <dimension ref="A1:E475"/>
  <sheetViews>
    <sheetView workbookViewId="0">
      <selection activeCell="F1" sqref="F1"/>
    </sheetView>
  </sheetViews>
  <sheetFormatPr baseColWidth="10" defaultRowHeight="12.75" x14ac:dyDescent="0.2"/>
  <cols>
    <col min="1" max="1" width="16.140625" style="2" customWidth="1"/>
    <col min="2" max="2" width="50.28515625" customWidth="1"/>
    <col min="3" max="3" width="16.5703125" customWidth="1"/>
    <col min="4" max="4" width="21.5703125" customWidth="1"/>
    <col min="5" max="5" width="14.5703125" customWidth="1"/>
  </cols>
  <sheetData>
    <row r="1" spans="1:5" x14ac:dyDescent="0.2">
      <c r="A1" s="2" t="s">
        <v>491</v>
      </c>
      <c r="B1" t="s">
        <v>492</v>
      </c>
      <c r="C1" t="s">
        <v>493</v>
      </c>
      <c r="D1" t="s">
        <v>494</v>
      </c>
      <c r="E1" t="s">
        <v>495</v>
      </c>
    </row>
    <row r="2" spans="1:5" x14ac:dyDescent="0.2">
      <c r="A2" s="2">
        <v>20015</v>
      </c>
      <c r="B2" t="s">
        <v>419</v>
      </c>
      <c r="E2" t="str">
        <f t="shared" ref="E2:E65" si="0">IF(COUNTIF($A:$A,A2)&gt;1,"DOPPELT","OK")</f>
        <v>OK</v>
      </c>
    </row>
    <row r="3" spans="1:5" x14ac:dyDescent="0.2">
      <c r="A3" s="2">
        <v>20048</v>
      </c>
      <c r="B3" t="s">
        <v>166</v>
      </c>
      <c r="E3" t="str">
        <f t="shared" si="0"/>
        <v>OK</v>
      </c>
    </row>
    <row r="4" spans="1:5" x14ac:dyDescent="0.2">
      <c r="A4" s="2">
        <v>20201</v>
      </c>
      <c r="B4" t="s">
        <v>1</v>
      </c>
      <c r="E4" t="str">
        <f t="shared" si="0"/>
        <v>OK</v>
      </c>
    </row>
    <row r="5" spans="1:5" x14ac:dyDescent="0.2">
      <c r="A5" s="2">
        <v>20203</v>
      </c>
      <c r="B5" t="s">
        <v>70</v>
      </c>
      <c r="E5" t="str">
        <f t="shared" si="0"/>
        <v>OK</v>
      </c>
    </row>
    <row r="6" spans="1:5" x14ac:dyDescent="0.2">
      <c r="A6" s="3">
        <v>20204</v>
      </c>
      <c r="B6" s="1" t="s">
        <v>52</v>
      </c>
      <c r="E6" t="str">
        <f t="shared" si="0"/>
        <v>OK</v>
      </c>
    </row>
    <row r="7" spans="1:5" x14ac:dyDescent="0.2">
      <c r="A7" s="3">
        <v>20205</v>
      </c>
      <c r="B7" s="1" t="s">
        <v>57</v>
      </c>
      <c r="E7" t="str">
        <f t="shared" si="0"/>
        <v>OK</v>
      </c>
    </row>
    <row r="8" spans="1:5" x14ac:dyDescent="0.2">
      <c r="A8" s="2">
        <v>20228</v>
      </c>
      <c r="B8" t="s">
        <v>234</v>
      </c>
      <c r="E8" t="str">
        <f t="shared" si="0"/>
        <v>OK</v>
      </c>
    </row>
    <row r="9" spans="1:5" x14ac:dyDescent="0.2">
      <c r="A9" s="4">
        <v>20231</v>
      </c>
      <c r="B9" s="5" t="s">
        <v>56</v>
      </c>
      <c r="E9" t="str">
        <f t="shared" si="0"/>
        <v>OK</v>
      </c>
    </row>
    <row r="10" spans="1:5" x14ac:dyDescent="0.2">
      <c r="A10" s="2">
        <v>20258</v>
      </c>
      <c r="B10" t="s">
        <v>279</v>
      </c>
      <c r="E10" t="str">
        <f t="shared" si="0"/>
        <v>OK</v>
      </c>
    </row>
    <row r="11" spans="1:5" x14ac:dyDescent="0.2">
      <c r="A11" s="2">
        <v>20266</v>
      </c>
      <c r="B11" t="s">
        <v>213</v>
      </c>
      <c r="D11" t="s">
        <v>410</v>
      </c>
      <c r="E11" t="str">
        <f t="shared" si="0"/>
        <v>OK</v>
      </c>
    </row>
    <row r="12" spans="1:5" x14ac:dyDescent="0.2">
      <c r="A12" s="2">
        <v>20269</v>
      </c>
      <c r="B12" t="s">
        <v>128</v>
      </c>
      <c r="D12" t="s">
        <v>327</v>
      </c>
      <c r="E12" t="str">
        <f t="shared" si="0"/>
        <v>OK</v>
      </c>
    </row>
    <row r="13" spans="1:5" x14ac:dyDescent="0.2">
      <c r="A13" s="4">
        <v>20272</v>
      </c>
      <c r="B13" s="5" t="s">
        <v>147</v>
      </c>
      <c r="D13" t="s">
        <v>327</v>
      </c>
      <c r="E13" t="str">
        <f t="shared" si="0"/>
        <v>OK</v>
      </c>
    </row>
    <row r="14" spans="1:5" x14ac:dyDescent="0.2">
      <c r="A14" s="2">
        <v>20276</v>
      </c>
      <c r="B14" t="s">
        <v>412</v>
      </c>
      <c r="E14" t="str">
        <f t="shared" si="0"/>
        <v>OK</v>
      </c>
    </row>
    <row r="15" spans="1:5" x14ac:dyDescent="0.2">
      <c r="A15" s="2">
        <v>20292</v>
      </c>
      <c r="B15" t="s">
        <v>33</v>
      </c>
      <c r="E15" t="str">
        <f t="shared" si="0"/>
        <v>OK</v>
      </c>
    </row>
    <row r="16" spans="1:5" x14ac:dyDescent="0.2">
      <c r="A16" s="2">
        <v>20295</v>
      </c>
      <c r="B16" t="s">
        <v>5</v>
      </c>
      <c r="D16" t="s">
        <v>410</v>
      </c>
      <c r="E16" t="str">
        <f t="shared" si="0"/>
        <v>OK</v>
      </c>
    </row>
    <row r="17" spans="1:5" x14ac:dyDescent="0.2">
      <c r="A17" s="2">
        <v>20298</v>
      </c>
      <c r="B17" t="s">
        <v>0</v>
      </c>
      <c r="D17" t="s">
        <v>327</v>
      </c>
      <c r="E17" t="str">
        <f t="shared" si="0"/>
        <v>OK</v>
      </c>
    </row>
    <row r="18" spans="1:5" x14ac:dyDescent="0.2">
      <c r="A18" s="2">
        <v>20308</v>
      </c>
      <c r="B18" t="s">
        <v>142</v>
      </c>
      <c r="D18" t="s">
        <v>327</v>
      </c>
      <c r="E18" t="str">
        <f t="shared" si="0"/>
        <v>OK</v>
      </c>
    </row>
    <row r="19" spans="1:5" x14ac:dyDescent="0.2">
      <c r="A19" s="2">
        <v>20311</v>
      </c>
      <c r="B19" t="s">
        <v>143</v>
      </c>
      <c r="E19" t="str">
        <f t="shared" si="0"/>
        <v>OK</v>
      </c>
    </row>
    <row r="20" spans="1:5" x14ac:dyDescent="0.2">
      <c r="A20" s="2">
        <v>20312</v>
      </c>
      <c r="B20" t="s">
        <v>28</v>
      </c>
      <c r="E20" t="str">
        <f t="shared" si="0"/>
        <v>OK</v>
      </c>
    </row>
    <row r="21" spans="1:5" x14ac:dyDescent="0.2">
      <c r="A21" s="2">
        <v>20316</v>
      </c>
      <c r="B21" t="s">
        <v>153</v>
      </c>
      <c r="E21" t="str">
        <f t="shared" si="0"/>
        <v>OK</v>
      </c>
    </row>
    <row r="22" spans="1:5" x14ac:dyDescent="0.2">
      <c r="A22" s="3">
        <v>20317</v>
      </c>
      <c r="B22" s="1" t="s">
        <v>17</v>
      </c>
      <c r="E22" t="str">
        <f t="shared" si="0"/>
        <v>OK</v>
      </c>
    </row>
    <row r="23" spans="1:5" x14ac:dyDescent="0.2">
      <c r="A23" s="2">
        <v>20318</v>
      </c>
      <c r="B23" t="s">
        <v>123</v>
      </c>
      <c r="E23" t="str">
        <f t="shared" si="0"/>
        <v>OK</v>
      </c>
    </row>
    <row r="24" spans="1:5" x14ac:dyDescent="0.2">
      <c r="A24" s="2">
        <v>20319</v>
      </c>
      <c r="B24" t="s">
        <v>19</v>
      </c>
      <c r="E24" t="str">
        <f t="shared" si="0"/>
        <v>OK</v>
      </c>
    </row>
    <row r="25" spans="1:5" x14ac:dyDescent="0.2">
      <c r="A25" s="2">
        <v>20320</v>
      </c>
      <c r="B25" t="s">
        <v>154</v>
      </c>
      <c r="D25" t="s">
        <v>327</v>
      </c>
      <c r="E25" t="str">
        <f t="shared" si="0"/>
        <v>OK</v>
      </c>
    </row>
    <row r="26" spans="1:5" x14ac:dyDescent="0.2">
      <c r="A26" s="4">
        <v>20321</v>
      </c>
      <c r="B26" s="5" t="s">
        <v>282</v>
      </c>
      <c r="E26" t="str">
        <f t="shared" si="0"/>
        <v>OK</v>
      </c>
    </row>
    <row r="27" spans="1:5" x14ac:dyDescent="0.2">
      <c r="A27" s="2">
        <v>20325</v>
      </c>
      <c r="B27" t="s">
        <v>116</v>
      </c>
      <c r="E27" t="str">
        <f t="shared" si="0"/>
        <v>OK</v>
      </c>
    </row>
    <row r="28" spans="1:5" x14ac:dyDescent="0.2">
      <c r="A28" s="2">
        <v>20327</v>
      </c>
      <c r="B28" t="s">
        <v>227</v>
      </c>
      <c r="E28" t="str">
        <f t="shared" si="0"/>
        <v>OK</v>
      </c>
    </row>
    <row r="29" spans="1:5" x14ac:dyDescent="0.2">
      <c r="A29" s="2">
        <v>20331</v>
      </c>
      <c r="B29" t="s">
        <v>121</v>
      </c>
      <c r="E29" t="str">
        <f t="shared" si="0"/>
        <v>OK</v>
      </c>
    </row>
    <row r="30" spans="1:5" x14ac:dyDescent="0.2">
      <c r="A30" s="2">
        <v>20333</v>
      </c>
      <c r="B30" t="s">
        <v>193</v>
      </c>
      <c r="D30" t="s">
        <v>410</v>
      </c>
      <c r="E30" t="str">
        <f t="shared" si="0"/>
        <v>OK</v>
      </c>
    </row>
    <row r="31" spans="1:5" x14ac:dyDescent="0.2">
      <c r="A31" s="2">
        <v>20335</v>
      </c>
      <c r="B31" t="s">
        <v>95</v>
      </c>
      <c r="D31" t="s">
        <v>327</v>
      </c>
      <c r="E31" t="str">
        <f t="shared" si="0"/>
        <v>OK</v>
      </c>
    </row>
    <row r="32" spans="1:5" x14ac:dyDescent="0.2">
      <c r="A32" s="2">
        <v>20337</v>
      </c>
      <c r="B32" t="s">
        <v>386</v>
      </c>
      <c r="E32" t="str">
        <f t="shared" si="0"/>
        <v>OK</v>
      </c>
    </row>
    <row r="33" spans="1:5" x14ac:dyDescent="0.2">
      <c r="A33" s="2">
        <v>20338</v>
      </c>
      <c r="B33" t="s">
        <v>26</v>
      </c>
      <c r="C33" s="5"/>
      <c r="E33" t="str">
        <f t="shared" si="0"/>
        <v>OK</v>
      </c>
    </row>
    <row r="34" spans="1:5" x14ac:dyDescent="0.2">
      <c r="A34" s="2">
        <v>20341</v>
      </c>
      <c r="B34" t="s">
        <v>6</v>
      </c>
      <c r="D34" t="s">
        <v>410</v>
      </c>
      <c r="E34" t="str">
        <f t="shared" si="0"/>
        <v>OK</v>
      </c>
    </row>
    <row r="35" spans="1:5" x14ac:dyDescent="0.2">
      <c r="A35" s="2">
        <v>20342</v>
      </c>
      <c r="B35" t="s">
        <v>115</v>
      </c>
      <c r="E35" t="str">
        <f t="shared" si="0"/>
        <v>OK</v>
      </c>
    </row>
    <row r="36" spans="1:5" x14ac:dyDescent="0.2">
      <c r="A36" s="2">
        <v>20345</v>
      </c>
      <c r="B36" s="5" t="s">
        <v>416</v>
      </c>
      <c r="E36" t="str">
        <f t="shared" si="0"/>
        <v>OK</v>
      </c>
    </row>
    <row r="37" spans="1:5" x14ac:dyDescent="0.2">
      <c r="A37" s="2">
        <v>20349</v>
      </c>
      <c r="B37" t="s">
        <v>35</v>
      </c>
      <c r="D37" t="s">
        <v>409</v>
      </c>
      <c r="E37" t="str">
        <f t="shared" si="0"/>
        <v>OK</v>
      </c>
    </row>
    <row r="38" spans="1:5" x14ac:dyDescent="0.2">
      <c r="A38" s="3">
        <v>20352</v>
      </c>
      <c r="B38" s="1" t="s">
        <v>411</v>
      </c>
      <c r="E38" t="str">
        <f t="shared" si="0"/>
        <v>OK</v>
      </c>
    </row>
    <row r="39" spans="1:5" x14ac:dyDescent="0.2">
      <c r="A39" s="3">
        <v>20354</v>
      </c>
      <c r="B39" s="1" t="s">
        <v>284</v>
      </c>
      <c r="E39" t="str">
        <f t="shared" si="0"/>
        <v>OK</v>
      </c>
    </row>
    <row r="40" spans="1:5" x14ac:dyDescent="0.2">
      <c r="A40" s="3">
        <v>20357</v>
      </c>
      <c r="B40" s="1" t="s">
        <v>245</v>
      </c>
      <c r="D40" t="s">
        <v>409</v>
      </c>
      <c r="E40" t="str">
        <f t="shared" si="0"/>
        <v>OK</v>
      </c>
    </row>
    <row r="41" spans="1:5" x14ac:dyDescent="0.2">
      <c r="A41" s="2">
        <v>20361</v>
      </c>
      <c r="B41" t="s">
        <v>196</v>
      </c>
      <c r="E41" t="str">
        <f t="shared" si="0"/>
        <v>OK</v>
      </c>
    </row>
    <row r="42" spans="1:5" x14ac:dyDescent="0.2">
      <c r="A42" s="2">
        <v>20362</v>
      </c>
      <c r="B42" t="s">
        <v>22</v>
      </c>
      <c r="E42" t="str">
        <f t="shared" si="0"/>
        <v>OK</v>
      </c>
    </row>
    <row r="43" spans="1:5" x14ac:dyDescent="0.2">
      <c r="A43" s="4">
        <v>20363</v>
      </c>
      <c r="B43" s="5" t="s">
        <v>200</v>
      </c>
      <c r="E43" t="str">
        <f t="shared" si="0"/>
        <v>OK</v>
      </c>
    </row>
    <row r="44" spans="1:5" x14ac:dyDescent="0.2">
      <c r="A44" s="4">
        <v>20370</v>
      </c>
      <c r="B44" s="5" t="s">
        <v>168</v>
      </c>
      <c r="C44" s="5"/>
      <c r="E44" t="str">
        <f t="shared" si="0"/>
        <v>OK</v>
      </c>
    </row>
    <row r="45" spans="1:5" x14ac:dyDescent="0.2">
      <c r="A45" s="2">
        <v>20371</v>
      </c>
      <c r="B45" t="s">
        <v>268</v>
      </c>
      <c r="C45" s="5"/>
      <c r="D45" t="s">
        <v>407</v>
      </c>
      <c r="E45" t="str">
        <f t="shared" si="0"/>
        <v>OK</v>
      </c>
    </row>
    <row r="46" spans="1:5" x14ac:dyDescent="0.2">
      <c r="A46" s="2">
        <v>20373</v>
      </c>
      <c r="B46" t="s">
        <v>177</v>
      </c>
      <c r="C46" s="5"/>
      <c r="E46" t="str">
        <f t="shared" si="0"/>
        <v>OK</v>
      </c>
    </row>
    <row r="47" spans="1:5" x14ac:dyDescent="0.2">
      <c r="A47" s="2">
        <v>20374</v>
      </c>
      <c r="B47" t="s">
        <v>277</v>
      </c>
      <c r="C47" s="5"/>
      <c r="D47" t="s">
        <v>410</v>
      </c>
      <c r="E47" t="str">
        <f t="shared" si="0"/>
        <v>OK</v>
      </c>
    </row>
    <row r="48" spans="1:5" x14ac:dyDescent="0.2">
      <c r="A48" s="2">
        <v>20375</v>
      </c>
      <c r="B48" t="s">
        <v>69</v>
      </c>
      <c r="C48" s="5"/>
      <c r="D48" t="s">
        <v>327</v>
      </c>
      <c r="E48" t="str">
        <f t="shared" si="0"/>
        <v>OK</v>
      </c>
    </row>
    <row r="49" spans="1:5" x14ac:dyDescent="0.2">
      <c r="A49" s="4">
        <v>20376</v>
      </c>
      <c r="B49" s="5" t="s">
        <v>58</v>
      </c>
      <c r="C49" s="5"/>
      <c r="E49" t="str">
        <f t="shared" si="0"/>
        <v>OK</v>
      </c>
    </row>
    <row r="50" spans="1:5" x14ac:dyDescent="0.2">
      <c r="A50" s="4">
        <v>20380</v>
      </c>
      <c r="B50" s="5" t="s">
        <v>238</v>
      </c>
      <c r="C50" s="5"/>
      <c r="E50" t="str">
        <f t="shared" si="0"/>
        <v>OK</v>
      </c>
    </row>
    <row r="51" spans="1:5" x14ac:dyDescent="0.2">
      <c r="A51" s="4">
        <v>20383</v>
      </c>
      <c r="B51" s="5" t="s">
        <v>43</v>
      </c>
      <c r="C51" s="5"/>
      <c r="E51" t="str">
        <f t="shared" si="0"/>
        <v>OK</v>
      </c>
    </row>
    <row r="52" spans="1:5" x14ac:dyDescent="0.2">
      <c r="A52" s="4">
        <v>20384</v>
      </c>
      <c r="B52" s="5" t="s">
        <v>266</v>
      </c>
      <c r="C52" s="5"/>
      <c r="E52" t="str">
        <f t="shared" si="0"/>
        <v>OK</v>
      </c>
    </row>
    <row r="53" spans="1:5" x14ac:dyDescent="0.2">
      <c r="A53" s="4">
        <v>20385</v>
      </c>
      <c r="B53" s="5" t="s">
        <v>272</v>
      </c>
      <c r="C53" s="5"/>
      <c r="E53" t="str">
        <f t="shared" si="0"/>
        <v>OK</v>
      </c>
    </row>
    <row r="54" spans="1:5" x14ac:dyDescent="0.2">
      <c r="A54" s="4">
        <v>20386</v>
      </c>
      <c r="B54" s="5" t="s">
        <v>480</v>
      </c>
      <c r="C54" s="5"/>
      <c r="E54" t="str">
        <f t="shared" si="0"/>
        <v>OK</v>
      </c>
    </row>
    <row r="55" spans="1:5" x14ac:dyDescent="0.2">
      <c r="A55" s="4">
        <v>20387</v>
      </c>
      <c r="B55" s="5" t="s">
        <v>134</v>
      </c>
      <c r="C55" s="5"/>
      <c r="D55" t="s">
        <v>410</v>
      </c>
      <c r="E55" t="str">
        <f t="shared" si="0"/>
        <v>OK</v>
      </c>
    </row>
    <row r="56" spans="1:5" x14ac:dyDescent="0.2">
      <c r="A56" s="4">
        <v>20392</v>
      </c>
      <c r="B56" s="5" t="s">
        <v>190</v>
      </c>
      <c r="C56" s="5"/>
      <c r="D56" t="s">
        <v>410</v>
      </c>
      <c r="E56" t="str">
        <f t="shared" si="0"/>
        <v>OK</v>
      </c>
    </row>
    <row r="57" spans="1:5" x14ac:dyDescent="0.2">
      <c r="A57" s="4">
        <v>20394</v>
      </c>
      <c r="B57" s="5" t="s">
        <v>478</v>
      </c>
      <c r="C57" s="5"/>
      <c r="E57" t="str">
        <f t="shared" si="0"/>
        <v>OK</v>
      </c>
    </row>
    <row r="58" spans="1:5" x14ac:dyDescent="0.2">
      <c r="A58" s="4">
        <v>20398</v>
      </c>
      <c r="B58" s="5" t="s">
        <v>479</v>
      </c>
      <c r="C58" s="5"/>
      <c r="E58" t="str">
        <f t="shared" si="0"/>
        <v>OK</v>
      </c>
    </row>
    <row r="59" spans="1:5" x14ac:dyDescent="0.2">
      <c r="A59" s="4">
        <v>20401</v>
      </c>
      <c r="B59" s="5" t="s">
        <v>244</v>
      </c>
      <c r="C59" s="5"/>
      <c r="E59" t="str">
        <f t="shared" si="0"/>
        <v>OK</v>
      </c>
    </row>
    <row r="60" spans="1:5" x14ac:dyDescent="0.2">
      <c r="A60" s="4">
        <v>20404</v>
      </c>
      <c r="B60" s="5" t="s">
        <v>225</v>
      </c>
      <c r="C60" s="5"/>
      <c r="E60" t="str">
        <f t="shared" si="0"/>
        <v>OK</v>
      </c>
    </row>
    <row r="61" spans="1:5" x14ac:dyDescent="0.2">
      <c r="A61" s="4">
        <v>20405</v>
      </c>
      <c r="B61" s="5" t="s">
        <v>49</v>
      </c>
      <c r="C61" s="5"/>
      <c r="D61" t="s">
        <v>327</v>
      </c>
      <c r="E61" t="str">
        <f t="shared" si="0"/>
        <v>OK</v>
      </c>
    </row>
    <row r="62" spans="1:5" x14ac:dyDescent="0.2">
      <c r="A62" s="4">
        <v>20406</v>
      </c>
      <c r="B62" s="5" t="s">
        <v>251</v>
      </c>
      <c r="C62" s="5"/>
      <c r="E62" t="str">
        <f t="shared" si="0"/>
        <v>OK</v>
      </c>
    </row>
    <row r="63" spans="1:5" x14ac:dyDescent="0.2">
      <c r="A63" s="4">
        <v>20407</v>
      </c>
      <c r="B63" s="5" t="s">
        <v>250</v>
      </c>
      <c r="C63" s="5"/>
      <c r="E63" t="str">
        <f t="shared" si="0"/>
        <v>OK</v>
      </c>
    </row>
    <row r="64" spans="1:5" x14ac:dyDescent="0.2">
      <c r="A64" s="4">
        <v>20412</v>
      </c>
      <c r="B64" s="5" t="s">
        <v>44</v>
      </c>
      <c r="C64" s="5"/>
      <c r="E64" t="str">
        <f t="shared" si="0"/>
        <v>OK</v>
      </c>
    </row>
    <row r="65" spans="1:5" x14ac:dyDescent="0.2">
      <c r="A65" s="4">
        <v>20413</v>
      </c>
      <c r="B65" s="5" t="s">
        <v>45</v>
      </c>
      <c r="C65" s="5"/>
      <c r="D65" t="s">
        <v>407</v>
      </c>
      <c r="E65" t="str">
        <f t="shared" si="0"/>
        <v>OK</v>
      </c>
    </row>
    <row r="66" spans="1:5" x14ac:dyDescent="0.2">
      <c r="A66" s="4">
        <v>20416</v>
      </c>
      <c r="B66" s="5" t="s">
        <v>91</v>
      </c>
      <c r="C66" s="5"/>
      <c r="E66" t="str">
        <f t="shared" ref="E66:E129" si="1">IF(COUNTIF($A:$A,A66)&gt;1,"DOPPELT","OK")</f>
        <v>OK</v>
      </c>
    </row>
    <row r="67" spans="1:5" x14ac:dyDescent="0.2">
      <c r="A67" s="4">
        <v>20417</v>
      </c>
      <c r="B67" s="5" t="s">
        <v>102</v>
      </c>
      <c r="C67" s="5"/>
      <c r="E67" t="str">
        <f t="shared" si="1"/>
        <v>OK</v>
      </c>
    </row>
    <row r="68" spans="1:5" x14ac:dyDescent="0.2">
      <c r="A68" s="4">
        <v>20419</v>
      </c>
      <c r="B68" s="1" t="s">
        <v>481</v>
      </c>
      <c r="C68" s="5"/>
      <c r="E68" t="str">
        <f t="shared" si="1"/>
        <v>OK</v>
      </c>
    </row>
    <row r="69" spans="1:5" x14ac:dyDescent="0.2">
      <c r="A69" s="3">
        <v>20420</v>
      </c>
      <c r="B69" s="1" t="s">
        <v>21</v>
      </c>
      <c r="C69" s="5"/>
      <c r="D69" t="s">
        <v>327</v>
      </c>
      <c r="E69" t="str">
        <f t="shared" si="1"/>
        <v>OK</v>
      </c>
    </row>
    <row r="70" spans="1:5" x14ac:dyDescent="0.2">
      <c r="A70" s="3">
        <v>20421</v>
      </c>
      <c r="B70" s="1" t="s">
        <v>24</v>
      </c>
      <c r="C70" s="5"/>
      <c r="E70" t="str">
        <f t="shared" si="1"/>
        <v>OK</v>
      </c>
    </row>
    <row r="71" spans="1:5" x14ac:dyDescent="0.2">
      <c r="A71" s="4">
        <v>20424</v>
      </c>
      <c r="B71" s="5" t="s">
        <v>259</v>
      </c>
      <c r="C71" s="5"/>
      <c r="E71" t="str">
        <f t="shared" si="1"/>
        <v>OK</v>
      </c>
    </row>
    <row r="72" spans="1:5" x14ac:dyDescent="0.2">
      <c r="A72" s="3">
        <v>20433</v>
      </c>
      <c r="B72" s="1" t="s">
        <v>36</v>
      </c>
      <c r="C72" s="5"/>
      <c r="E72" t="str">
        <f t="shared" si="1"/>
        <v>OK</v>
      </c>
    </row>
    <row r="73" spans="1:5" x14ac:dyDescent="0.2">
      <c r="A73" s="4">
        <v>20435</v>
      </c>
      <c r="B73" s="5" t="s">
        <v>482</v>
      </c>
      <c r="C73" s="5"/>
      <c r="E73" t="str">
        <f t="shared" si="1"/>
        <v>OK</v>
      </c>
    </row>
    <row r="74" spans="1:5" x14ac:dyDescent="0.2">
      <c r="A74" s="4">
        <v>20436</v>
      </c>
      <c r="B74" s="5" t="s">
        <v>199</v>
      </c>
      <c r="C74" s="5"/>
      <c r="E74" t="str">
        <f t="shared" si="1"/>
        <v>OK</v>
      </c>
    </row>
    <row r="75" spans="1:5" x14ac:dyDescent="0.2">
      <c r="A75" s="4">
        <v>20440</v>
      </c>
      <c r="B75" s="5" t="s">
        <v>288</v>
      </c>
      <c r="C75" s="5"/>
      <c r="E75" t="str">
        <f t="shared" si="1"/>
        <v>OK</v>
      </c>
    </row>
    <row r="76" spans="1:5" x14ac:dyDescent="0.2">
      <c r="A76" s="4">
        <v>20443</v>
      </c>
      <c r="B76" s="5" t="s">
        <v>62</v>
      </c>
      <c r="C76" s="5"/>
      <c r="E76" t="str">
        <f t="shared" si="1"/>
        <v>OK</v>
      </c>
    </row>
    <row r="77" spans="1:5" x14ac:dyDescent="0.2">
      <c r="A77" s="4">
        <v>20444</v>
      </c>
      <c r="B77" s="5" t="s">
        <v>60</v>
      </c>
      <c r="C77" s="5"/>
      <c r="E77" t="str">
        <f t="shared" si="1"/>
        <v>OK</v>
      </c>
    </row>
    <row r="78" spans="1:5" x14ac:dyDescent="0.2">
      <c r="A78" s="3">
        <v>20445</v>
      </c>
      <c r="B78" s="1" t="s">
        <v>27</v>
      </c>
      <c r="C78" s="5"/>
      <c r="E78" t="str">
        <f t="shared" si="1"/>
        <v>OK</v>
      </c>
    </row>
    <row r="79" spans="1:5" x14ac:dyDescent="0.2">
      <c r="A79" s="3">
        <v>20446</v>
      </c>
      <c r="B79" s="1" t="s">
        <v>484</v>
      </c>
      <c r="C79" s="5"/>
      <c r="E79" t="str">
        <f t="shared" si="1"/>
        <v>OK</v>
      </c>
    </row>
    <row r="80" spans="1:5" x14ac:dyDescent="0.2">
      <c r="A80" s="4">
        <v>20447</v>
      </c>
      <c r="B80" s="5" t="s">
        <v>61</v>
      </c>
      <c r="C80" s="5"/>
      <c r="E80" t="str">
        <f t="shared" si="1"/>
        <v>OK</v>
      </c>
    </row>
    <row r="81" spans="1:5" x14ac:dyDescent="0.2">
      <c r="A81" s="3">
        <v>20448</v>
      </c>
      <c r="B81" s="1" t="s">
        <v>96</v>
      </c>
      <c r="C81" s="5"/>
      <c r="E81" t="str">
        <f t="shared" si="1"/>
        <v>OK</v>
      </c>
    </row>
    <row r="82" spans="1:5" x14ac:dyDescent="0.2">
      <c r="A82" s="3">
        <v>20450</v>
      </c>
      <c r="B82" s="1" t="s">
        <v>12</v>
      </c>
      <c r="C82" s="5"/>
      <c r="D82" t="s">
        <v>327</v>
      </c>
      <c r="E82" t="str">
        <f t="shared" si="1"/>
        <v>OK</v>
      </c>
    </row>
    <row r="83" spans="1:5" x14ac:dyDescent="0.2">
      <c r="A83" s="4">
        <v>20451</v>
      </c>
      <c r="B83" s="5" t="s">
        <v>112</v>
      </c>
      <c r="D83" t="s">
        <v>327</v>
      </c>
      <c r="E83" t="str">
        <f t="shared" si="1"/>
        <v>OK</v>
      </c>
    </row>
    <row r="84" spans="1:5" x14ac:dyDescent="0.2">
      <c r="A84" s="4">
        <v>20452</v>
      </c>
      <c r="B84" s="5" t="s">
        <v>48</v>
      </c>
      <c r="D84" t="s">
        <v>327</v>
      </c>
      <c r="E84" t="str">
        <f t="shared" si="1"/>
        <v>OK</v>
      </c>
    </row>
    <row r="85" spans="1:5" x14ac:dyDescent="0.2">
      <c r="A85" s="4">
        <v>20456</v>
      </c>
      <c r="B85" s="5" t="s">
        <v>217</v>
      </c>
      <c r="D85" t="s">
        <v>327</v>
      </c>
      <c r="E85" t="str">
        <f t="shared" si="1"/>
        <v>OK</v>
      </c>
    </row>
    <row r="86" spans="1:5" x14ac:dyDescent="0.2">
      <c r="A86" s="4">
        <v>20464</v>
      </c>
      <c r="B86" s="5" t="s">
        <v>192</v>
      </c>
      <c r="E86" t="str">
        <f t="shared" si="1"/>
        <v>OK</v>
      </c>
    </row>
    <row r="87" spans="1:5" x14ac:dyDescent="0.2">
      <c r="A87" s="4">
        <v>20466</v>
      </c>
      <c r="B87" s="5" t="s">
        <v>189</v>
      </c>
      <c r="E87" t="str">
        <f t="shared" si="1"/>
        <v>OK</v>
      </c>
    </row>
    <row r="88" spans="1:5" x14ac:dyDescent="0.2">
      <c r="A88" s="4">
        <v>20469</v>
      </c>
      <c r="B88" s="5" t="s">
        <v>483</v>
      </c>
      <c r="E88" t="str">
        <f t="shared" si="1"/>
        <v>OK</v>
      </c>
    </row>
    <row r="89" spans="1:5" x14ac:dyDescent="0.2">
      <c r="A89" s="4">
        <v>20470</v>
      </c>
      <c r="B89" s="5" t="s">
        <v>209</v>
      </c>
      <c r="E89" t="str">
        <f t="shared" si="1"/>
        <v>OK</v>
      </c>
    </row>
    <row r="90" spans="1:5" x14ac:dyDescent="0.2">
      <c r="A90" s="2">
        <v>20471</v>
      </c>
      <c r="B90" t="s">
        <v>42</v>
      </c>
      <c r="E90" t="str">
        <f t="shared" si="1"/>
        <v>OK</v>
      </c>
    </row>
    <row r="91" spans="1:5" x14ac:dyDescent="0.2">
      <c r="A91" s="2">
        <v>20474</v>
      </c>
      <c r="B91" t="s">
        <v>187</v>
      </c>
      <c r="E91" t="str">
        <f t="shared" si="1"/>
        <v>OK</v>
      </c>
    </row>
    <row r="92" spans="1:5" x14ac:dyDescent="0.2">
      <c r="A92" s="4">
        <v>20475</v>
      </c>
      <c r="B92" s="5" t="s">
        <v>201</v>
      </c>
      <c r="E92" t="str">
        <f t="shared" si="1"/>
        <v>OK</v>
      </c>
    </row>
    <row r="93" spans="1:5" x14ac:dyDescent="0.2">
      <c r="A93" s="3">
        <v>20479</v>
      </c>
      <c r="B93" s="1" t="s">
        <v>178</v>
      </c>
      <c r="E93" t="str">
        <f t="shared" si="1"/>
        <v>OK</v>
      </c>
    </row>
    <row r="94" spans="1:5" x14ac:dyDescent="0.2">
      <c r="A94" s="2">
        <v>20480</v>
      </c>
      <c r="B94" t="s">
        <v>179</v>
      </c>
      <c r="E94" t="str">
        <f t="shared" si="1"/>
        <v>OK</v>
      </c>
    </row>
    <row r="95" spans="1:5" x14ac:dyDescent="0.2">
      <c r="A95" s="3">
        <v>20482</v>
      </c>
      <c r="B95" s="1" t="s">
        <v>133</v>
      </c>
      <c r="E95" t="str">
        <f t="shared" si="1"/>
        <v>OK</v>
      </c>
    </row>
    <row r="96" spans="1:5" x14ac:dyDescent="0.2">
      <c r="A96" s="2">
        <v>20483</v>
      </c>
      <c r="B96" t="s">
        <v>183</v>
      </c>
      <c r="D96" t="s">
        <v>327</v>
      </c>
      <c r="E96" t="str">
        <f t="shared" si="1"/>
        <v>OK</v>
      </c>
    </row>
    <row r="97" spans="1:5" x14ac:dyDescent="0.2">
      <c r="A97" s="2">
        <v>20485</v>
      </c>
      <c r="B97" t="s">
        <v>97</v>
      </c>
      <c r="E97" t="str">
        <f t="shared" si="1"/>
        <v>OK</v>
      </c>
    </row>
    <row r="98" spans="1:5" x14ac:dyDescent="0.2">
      <c r="A98" s="2">
        <v>20486</v>
      </c>
      <c r="B98" t="s">
        <v>38</v>
      </c>
      <c r="E98" t="str">
        <f t="shared" si="1"/>
        <v>OK</v>
      </c>
    </row>
    <row r="99" spans="1:5" x14ac:dyDescent="0.2">
      <c r="A99" s="2">
        <v>20487</v>
      </c>
      <c r="B99" t="s">
        <v>214</v>
      </c>
      <c r="E99" t="str">
        <f t="shared" si="1"/>
        <v>OK</v>
      </c>
    </row>
    <row r="100" spans="1:5" x14ac:dyDescent="0.2">
      <c r="A100" s="2">
        <v>20488</v>
      </c>
      <c r="B100" t="s">
        <v>127</v>
      </c>
      <c r="E100" t="str">
        <f t="shared" si="1"/>
        <v>OK</v>
      </c>
    </row>
    <row r="101" spans="1:5" x14ac:dyDescent="0.2">
      <c r="A101" s="2">
        <v>20489</v>
      </c>
      <c r="B101" t="s">
        <v>88</v>
      </c>
      <c r="E101" t="str">
        <f t="shared" si="1"/>
        <v>OK</v>
      </c>
    </row>
    <row r="102" spans="1:5" x14ac:dyDescent="0.2">
      <c r="A102" s="3">
        <v>20494</v>
      </c>
      <c r="B102" s="1" t="s">
        <v>104</v>
      </c>
      <c r="E102" t="str">
        <f t="shared" si="1"/>
        <v>OK</v>
      </c>
    </row>
    <row r="103" spans="1:5" x14ac:dyDescent="0.2">
      <c r="A103" s="2">
        <v>20499</v>
      </c>
      <c r="B103" t="s">
        <v>206</v>
      </c>
      <c r="E103" t="str">
        <f t="shared" si="1"/>
        <v>OK</v>
      </c>
    </row>
    <row r="104" spans="1:5" x14ac:dyDescent="0.2">
      <c r="A104" s="2">
        <v>20500</v>
      </c>
      <c r="B104" t="s">
        <v>253</v>
      </c>
      <c r="D104" t="s">
        <v>327</v>
      </c>
      <c r="E104" t="str">
        <f t="shared" si="1"/>
        <v>OK</v>
      </c>
    </row>
    <row r="105" spans="1:5" x14ac:dyDescent="0.2">
      <c r="A105" s="3">
        <v>20501</v>
      </c>
      <c r="B105" s="1" t="s">
        <v>145</v>
      </c>
      <c r="E105" t="str">
        <f t="shared" si="1"/>
        <v>OK</v>
      </c>
    </row>
    <row r="106" spans="1:5" x14ac:dyDescent="0.2">
      <c r="A106" s="3">
        <v>20502</v>
      </c>
      <c r="B106" s="1" t="s">
        <v>243</v>
      </c>
      <c r="E106" t="str">
        <f t="shared" si="1"/>
        <v>OK</v>
      </c>
    </row>
    <row r="107" spans="1:5" x14ac:dyDescent="0.2">
      <c r="A107" s="4">
        <v>20504</v>
      </c>
      <c r="B107" s="5" t="s">
        <v>93</v>
      </c>
      <c r="E107" t="str">
        <f t="shared" si="1"/>
        <v>OK</v>
      </c>
    </row>
    <row r="108" spans="1:5" x14ac:dyDescent="0.2">
      <c r="A108" s="4">
        <v>20507</v>
      </c>
      <c r="B108" s="5" t="s">
        <v>270</v>
      </c>
      <c r="E108" t="str">
        <f t="shared" si="1"/>
        <v>OK</v>
      </c>
    </row>
    <row r="109" spans="1:5" x14ac:dyDescent="0.2">
      <c r="A109" s="4">
        <v>20508</v>
      </c>
      <c r="B109" s="5" t="s">
        <v>240</v>
      </c>
      <c r="E109" t="str">
        <f t="shared" si="1"/>
        <v>OK</v>
      </c>
    </row>
    <row r="110" spans="1:5" x14ac:dyDescent="0.2">
      <c r="A110" s="4">
        <v>20511</v>
      </c>
      <c r="B110" s="5" t="s">
        <v>254</v>
      </c>
      <c r="E110" t="str">
        <f t="shared" si="1"/>
        <v>OK</v>
      </c>
    </row>
    <row r="111" spans="1:5" x14ac:dyDescent="0.2">
      <c r="A111" s="4">
        <v>20513</v>
      </c>
      <c r="B111" s="5" t="s">
        <v>191</v>
      </c>
      <c r="E111" t="str">
        <f t="shared" si="1"/>
        <v>OK</v>
      </c>
    </row>
    <row r="112" spans="1:5" x14ac:dyDescent="0.2">
      <c r="A112" s="3">
        <v>20515</v>
      </c>
      <c r="B112" s="1" t="s">
        <v>41</v>
      </c>
      <c r="E112" t="str">
        <f t="shared" si="1"/>
        <v>OK</v>
      </c>
    </row>
    <row r="113" spans="1:5" x14ac:dyDescent="0.2">
      <c r="A113" s="4">
        <v>20516</v>
      </c>
      <c r="B113" s="5" t="s">
        <v>54</v>
      </c>
      <c r="E113" t="str">
        <f t="shared" si="1"/>
        <v>OK</v>
      </c>
    </row>
    <row r="114" spans="1:5" x14ac:dyDescent="0.2">
      <c r="A114" s="4">
        <v>20518</v>
      </c>
      <c r="B114" s="5" t="s">
        <v>228</v>
      </c>
      <c r="E114" t="str">
        <f t="shared" si="1"/>
        <v>OK</v>
      </c>
    </row>
    <row r="115" spans="1:5" x14ac:dyDescent="0.2">
      <c r="A115" s="4">
        <v>20519</v>
      </c>
      <c r="B115" s="5" t="s">
        <v>265</v>
      </c>
      <c r="E115" t="str">
        <f t="shared" si="1"/>
        <v>OK</v>
      </c>
    </row>
    <row r="116" spans="1:5" x14ac:dyDescent="0.2">
      <c r="A116" s="4">
        <v>20520</v>
      </c>
      <c r="B116" s="5" t="s">
        <v>47</v>
      </c>
      <c r="E116" t="str">
        <f t="shared" si="1"/>
        <v>OK</v>
      </c>
    </row>
    <row r="117" spans="1:5" x14ac:dyDescent="0.2">
      <c r="A117" s="4">
        <v>20521</v>
      </c>
      <c r="B117" s="5" t="s">
        <v>101</v>
      </c>
      <c r="E117" t="str">
        <f t="shared" si="1"/>
        <v>OK</v>
      </c>
    </row>
    <row r="118" spans="1:5" x14ac:dyDescent="0.2">
      <c r="A118" s="4">
        <v>20522</v>
      </c>
      <c r="B118" s="5" t="s">
        <v>198</v>
      </c>
      <c r="E118" t="str">
        <f t="shared" si="1"/>
        <v>OK</v>
      </c>
    </row>
    <row r="119" spans="1:5" x14ac:dyDescent="0.2">
      <c r="A119" s="4">
        <v>20526</v>
      </c>
      <c r="B119" s="5" t="s">
        <v>111</v>
      </c>
      <c r="E119" t="str">
        <f t="shared" si="1"/>
        <v>OK</v>
      </c>
    </row>
    <row r="120" spans="1:5" x14ac:dyDescent="0.2">
      <c r="A120" s="4">
        <v>20527</v>
      </c>
      <c r="B120" t="s">
        <v>446</v>
      </c>
      <c r="E120" t="str">
        <f t="shared" si="1"/>
        <v>OK</v>
      </c>
    </row>
    <row r="121" spans="1:5" x14ac:dyDescent="0.2">
      <c r="A121" s="4">
        <v>20528</v>
      </c>
      <c r="B121" s="5" t="s">
        <v>90</v>
      </c>
      <c r="E121" t="str">
        <f t="shared" si="1"/>
        <v>OK</v>
      </c>
    </row>
    <row r="122" spans="1:5" x14ac:dyDescent="0.2">
      <c r="A122" s="4">
        <v>20530</v>
      </c>
      <c r="B122" s="5" t="s">
        <v>11</v>
      </c>
      <c r="D122" t="s">
        <v>327</v>
      </c>
      <c r="E122" t="str">
        <f t="shared" si="1"/>
        <v>OK</v>
      </c>
    </row>
    <row r="123" spans="1:5" x14ac:dyDescent="0.2">
      <c r="A123" s="4">
        <v>20533</v>
      </c>
      <c r="B123" s="5" t="s">
        <v>64</v>
      </c>
      <c r="E123" t="str">
        <f t="shared" si="1"/>
        <v>OK</v>
      </c>
    </row>
    <row r="124" spans="1:5" x14ac:dyDescent="0.2">
      <c r="A124" s="4">
        <v>20534</v>
      </c>
      <c r="B124" s="5" t="s">
        <v>182</v>
      </c>
      <c r="E124" t="str">
        <f t="shared" si="1"/>
        <v>OK</v>
      </c>
    </row>
    <row r="125" spans="1:5" x14ac:dyDescent="0.2">
      <c r="A125" s="4">
        <v>20535</v>
      </c>
      <c r="B125" s="5" t="s">
        <v>124</v>
      </c>
      <c r="E125" t="str">
        <f t="shared" si="1"/>
        <v>OK</v>
      </c>
    </row>
    <row r="126" spans="1:5" x14ac:dyDescent="0.2">
      <c r="A126" s="3">
        <v>20536</v>
      </c>
      <c r="B126" s="1" t="s">
        <v>195</v>
      </c>
      <c r="E126" t="str">
        <f t="shared" si="1"/>
        <v>OK</v>
      </c>
    </row>
    <row r="127" spans="1:5" x14ac:dyDescent="0.2">
      <c r="A127" s="4">
        <v>20537</v>
      </c>
      <c r="B127" s="5" t="s">
        <v>18</v>
      </c>
      <c r="D127" t="s">
        <v>410</v>
      </c>
      <c r="E127" t="str">
        <f t="shared" si="1"/>
        <v>OK</v>
      </c>
    </row>
    <row r="128" spans="1:5" x14ac:dyDescent="0.2">
      <c r="A128" s="4">
        <v>20540</v>
      </c>
      <c r="B128" s="5" t="s">
        <v>261</v>
      </c>
      <c r="D128" t="s">
        <v>410</v>
      </c>
      <c r="E128" t="str">
        <f t="shared" si="1"/>
        <v>OK</v>
      </c>
    </row>
    <row r="129" spans="1:5" x14ac:dyDescent="0.2">
      <c r="A129" s="4">
        <v>20541</v>
      </c>
      <c r="B129" s="5" t="s">
        <v>447</v>
      </c>
      <c r="E129" t="str">
        <f t="shared" si="1"/>
        <v>OK</v>
      </c>
    </row>
    <row r="130" spans="1:5" x14ac:dyDescent="0.2">
      <c r="A130" s="3">
        <v>20546</v>
      </c>
      <c r="B130" s="1" t="s">
        <v>449</v>
      </c>
      <c r="E130" t="str">
        <f t="shared" ref="E130:E193" si="2">IF(COUNTIF($A:$A,A130)&gt;1,"DOPPELT","OK")</f>
        <v>OK</v>
      </c>
    </row>
    <row r="131" spans="1:5" x14ac:dyDescent="0.2">
      <c r="A131" s="2">
        <v>20548</v>
      </c>
      <c r="B131" t="s">
        <v>448</v>
      </c>
      <c r="E131" t="str">
        <f t="shared" si="2"/>
        <v>OK</v>
      </c>
    </row>
    <row r="132" spans="1:5" x14ac:dyDescent="0.2">
      <c r="A132" s="2">
        <v>20550</v>
      </c>
      <c r="B132" t="s">
        <v>114</v>
      </c>
      <c r="E132" t="str">
        <f t="shared" si="2"/>
        <v>OK</v>
      </c>
    </row>
    <row r="133" spans="1:5" x14ac:dyDescent="0.2">
      <c r="A133" s="2">
        <v>20551</v>
      </c>
      <c r="B133" t="s">
        <v>144</v>
      </c>
      <c r="E133" t="str">
        <f t="shared" si="2"/>
        <v>OK</v>
      </c>
    </row>
    <row r="134" spans="1:5" x14ac:dyDescent="0.2">
      <c r="A134" s="2">
        <v>20552</v>
      </c>
      <c r="B134" s="1" t="s">
        <v>202</v>
      </c>
      <c r="E134" t="str">
        <f t="shared" si="2"/>
        <v>OK</v>
      </c>
    </row>
    <row r="135" spans="1:5" x14ac:dyDescent="0.2">
      <c r="A135" s="3">
        <v>20553</v>
      </c>
      <c r="B135" s="1" t="s">
        <v>445</v>
      </c>
      <c r="E135" t="str">
        <f t="shared" si="2"/>
        <v>OK</v>
      </c>
    </row>
    <row r="136" spans="1:5" x14ac:dyDescent="0.2">
      <c r="A136" s="4">
        <v>20554</v>
      </c>
      <c r="B136" s="5" t="s">
        <v>203</v>
      </c>
      <c r="E136" t="str">
        <f t="shared" si="2"/>
        <v>OK</v>
      </c>
    </row>
    <row r="137" spans="1:5" x14ac:dyDescent="0.2">
      <c r="A137" s="2">
        <v>20555</v>
      </c>
      <c r="B137" t="s">
        <v>50</v>
      </c>
      <c r="E137" t="str">
        <f t="shared" si="2"/>
        <v>OK</v>
      </c>
    </row>
    <row r="138" spans="1:5" x14ac:dyDescent="0.2">
      <c r="A138" s="2">
        <v>20556</v>
      </c>
      <c r="B138" t="s">
        <v>274</v>
      </c>
      <c r="E138" t="str">
        <f t="shared" si="2"/>
        <v>OK</v>
      </c>
    </row>
    <row r="139" spans="1:5" x14ac:dyDescent="0.2">
      <c r="A139" s="2">
        <v>20557</v>
      </c>
      <c r="B139" t="s">
        <v>66</v>
      </c>
      <c r="E139" t="str">
        <f t="shared" si="2"/>
        <v>OK</v>
      </c>
    </row>
    <row r="140" spans="1:5" x14ac:dyDescent="0.2">
      <c r="A140" s="4">
        <v>20560</v>
      </c>
      <c r="B140" s="5" t="s">
        <v>29</v>
      </c>
      <c r="D140" t="s">
        <v>327</v>
      </c>
      <c r="E140" t="str">
        <f t="shared" si="2"/>
        <v>OK</v>
      </c>
    </row>
    <row r="141" spans="1:5" x14ac:dyDescent="0.2">
      <c r="A141" s="2">
        <v>20561</v>
      </c>
      <c r="B141" t="s">
        <v>125</v>
      </c>
      <c r="E141" t="str">
        <f t="shared" si="2"/>
        <v>OK</v>
      </c>
    </row>
    <row r="142" spans="1:5" x14ac:dyDescent="0.2">
      <c r="A142" s="2">
        <v>20562</v>
      </c>
      <c r="B142" t="s">
        <v>233</v>
      </c>
      <c r="E142" t="str">
        <f t="shared" si="2"/>
        <v>OK</v>
      </c>
    </row>
    <row r="143" spans="1:5" x14ac:dyDescent="0.2">
      <c r="A143" s="2">
        <v>20565</v>
      </c>
      <c r="B143" t="s">
        <v>129</v>
      </c>
      <c r="E143" t="str">
        <f t="shared" si="2"/>
        <v>OK</v>
      </c>
    </row>
    <row r="144" spans="1:5" x14ac:dyDescent="0.2">
      <c r="A144" s="2">
        <v>20566</v>
      </c>
      <c r="B144" t="s">
        <v>260</v>
      </c>
      <c r="E144" t="str">
        <f t="shared" si="2"/>
        <v>OK</v>
      </c>
    </row>
    <row r="145" spans="1:5" x14ac:dyDescent="0.2">
      <c r="A145" s="3">
        <v>20575</v>
      </c>
      <c r="B145" s="1" t="s">
        <v>25</v>
      </c>
      <c r="E145" t="str">
        <f t="shared" si="2"/>
        <v>OK</v>
      </c>
    </row>
    <row r="146" spans="1:5" x14ac:dyDescent="0.2">
      <c r="A146" s="2">
        <v>20576</v>
      </c>
      <c r="B146" t="s">
        <v>264</v>
      </c>
      <c r="E146" t="str">
        <f t="shared" si="2"/>
        <v>OK</v>
      </c>
    </row>
    <row r="147" spans="1:5" x14ac:dyDescent="0.2">
      <c r="A147" s="3">
        <v>20578</v>
      </c>
      <c r="B147" s="1" t="s">
        <v>68</v>
      </c>
      <c r="D147" t="s">
        <v>389</v>
      </c>
      <c r="E147" t="str">
        <f t="shared" si="2"/>
        <v>OK</v>
      </c>
    </row>
    <row r="148" spans="1:5" x14ac:dyDescent="0.2">
      <c r="A148" s="2">
        <v>20579</v>
      </c>
      <c r="B148" t="s">
        <v>140</v>
      </c>
      <c r="D148" t="s">
        <v>389</v>
      </c>
      <c r="E148" t="str">
        <f t="shared" si="2"/>
        <v>OK</v>
      </c>
    </row>
    <row r="149" spans="1:5" x14ac:dyDescent="0.2">
      <c r="A149" s="2">
        <v>20582</v>
      </c>
      <c r="B149" t="s">
        <v>229</v>
      </c>
      <c r="E149" t="str">
        <f t="shared" si="2"/>
        <v>OK</v>
      </c>
    </row>
    <row r="150" spans="1:5" x14ac:dyDescent="0.2">
      <c r="A150" s="3">
        <v>20583</v>
      </c>
      <c r="B150" s="1" t="s">
        <v>231</v>
      </c>
      <c r="D150" t="s">
        <v>410</v>
      </c>
      <c r="E150" t="str">
        <f t="shared" si="2"/>
        <v>OK</v>
      </c>
    </row>
    <row r="151" spans="1:5" x14ac:dyDescent="0.2">
      <c r="A151" s="2">
        <v>20584</v>
      </c>
      <c r="B151" t="s">
        <v>247</v>
      </c>
      <c r="D151" t="s">
        <v>327</v>
      </c>
      <c r="E151" t="str">
        <f t="shared" si="2"/>
        <v>OK</v>
      </c>
    </row>
    <row r="152" spans="1:5" x14ac:dyDescent="0.2">
      <c r="A152" s="3">
        <v>20585</v>
      </c>
      <c r="B152" s="1" t="s">
        <v>150</v>
      </c>
      <c r="E152" t="str">
        <f t="shared" si="2"/>
        <v>OK</v>
      </c>
    </row>
    <row r="153" spans="1:5" x14ac:dyDescent="0.2">
      <c r="A153" s="2">
        <v>20586</v>
      </c>
      <c r="B153" t="s">
        <v>98</v>
      </c>
      <c r="E153" t="str">
        <f t="shared" si="2"/>
        <v>OK</v>
      </c>
    </row>
    <row r="154" spans="1:5" x14ac:dyDescent="0.2">
      <c r="A154" s="2">
        <v>20587</v>
      </c>
      <c r="B154" t="s">
        <v>99</v>
      </c>
      <c r="E154" t="str">
        <f t="shared" si="2"/>
        <v>OK</v>
      </c>
    </row>
    <row r="155" spans="1:5" x14ac:dyDescent="0.2">
      <c r="A155" s="2">
        <v>20588</v>
      </c>
      <c r="B155" t="s">
        <v>100</v>
      </c>
      <c r="E155" t="str">
        <f t="shared" si="2"/>
        <v>OK</v>
      </c>
    </row>
    <row r="156" spans="1:5" x14ac:dyDescent="0.2">
      <c r="A156" s="2">
        <v>20589</v>
      </c>
      <c r="B156" t="s">
        <v>346</v>
      </c>
      <c r="E156" t="str">
        <f t="shared" si="2"/>
        <v>OK</v>
      </c>
    </row>
    <row r="157" spans="1:5" x14ac:dyDescent="0.2">
      <c r="A157" s="2">
        <v>20594</v>
      </c>
      <c r="B157" t="s">
        <v>197</v>
      </c>
      <c r="E157" t="str">
        <f t="shared" si="2"/>
        <v>OK</v>
      </c>
    </row>
    <row r="158" spans="1:5" x14ac:dyDescent="0.2">
      <c r="A158" s="3">
        <v>20600</v>
      </c>
      <c r="B158" s="1" t="s">
        <v>106</v>
      </c>
      <c r="E158" t="str">
        <f t="shared" si="2"/>
        <v>OK</v>
      </c>
    </row>
    <row r="159" spans="1:5" x14ac:dyDescent="0.2">
      <c r="A159" s="2">
        <v>20601</v>
      </c>
      <c r="B159" t="s">
        <v>194</v>
      </c>
      <c r="E159" t="str">
        <f t="shared" si="2"/>
        <v>OK</v>
      </c>
    </row>
    <row r="160" spans="1:5" x14ac:dyDescent="0.2">
      <c r="A160" s="2">
        <v>20602</v>
      </c>
      <c r="B160" t="s">
        <v>241</v>
      </c>
      <c r="D160" s="5" t="s">
        <v>421</v>
      </c>
      <c r="E160" t="str">
        <f t="shared" si="2"/>
        <v>OK</v>
      </c>
    </row>
    <row r="161" spans="1:5" x14ac:dyDescent="0.2">
      <c r="A161" s="3">
        <v>20603</v>
      </c>
      <c r="B161" s="1" t="s">
        <v>109</v>
      </c>
      <c r="E161" t="str">
        <f t="shared" si="2"/>
        <v>OK</v>
      </c>
    </row>
    <row r="162" spans="1:5" x14ac:dyDescent="0.2">
      <c r="A162" s="2">
        <v>20604</v>
      </c>
      <c r="B162" t="s">
        <v>108</v>
      </c>
      <c r="E162" t="str">
        <f t="shared" si="2"/>
        <v>OK</v>
      </c>
    </row>
    <row r="163" spans="1:5" x14ac:dyDescent="0.2">
      <c r="A163" s="2">
        <v>20605</v>
      </c>
      <c r="B163" t="s">
        <v>248</v>
      </c>
      <c r="E163" t="str">
        <f t="shared" si="2"/>
        <v>OK</v>
      </c>
    </row>
    <row r="164" spans="1:5" x14ac:dyDescent="0.2">
      <c r="A164" s="2">
        <v>20606</v>
      </c>
      <c r="B164" t="s">
        <v>224</v>
      </c>
      <c r="E164" t="str">
        <f t="shared" si="2"/>
        <v>OK</v>
      </c>
    </row>
    <row r="165" spans="1:5" x14ac:dyDescent="0.2">
      <c r="A165" s="2">
        <v>20614</v>
      </c>
      <c r="B165" t="s">
        <v>263</v>
      </c>
      <c r="E165" t="str">
        <f t="shared" si="2"/>
        <v>OK</v>
      </c>
    </row>
    <row r="166" spans="1:5" x14ac:dyDescent="0.2">
      <c r="A166" s="2">
        <v>20615</v>
      </c>
      <c r="B166" t="s">
        <v>276</v>
      </c>
      <c r="E166" t="str">
        <f t="shared" si="2"/>
        <v>OK</v>
      </c>
    </row>
    <row r="167" spans="1:5" x14ac:dyDescent="0.2">
      <c r="A167" s="2">
        <v>20616</v>
      </c>
      <c r="B167" t="s">
        <v>208</v>
      </c>
      <c r="E167" t="str">
        <f t="shared" si="2"/>
        <v>OK</v>
      </c>
    </row>
    <row r="168" spans="1:5" x14ac:dyDescent="0.2">
      <c r="A168" s="2">
        <v>20617</v>
      </c>
      <c r="B168" t="s">
        <v>159</v>
      </c>
      <c r="E168" t="str">
        <f t="shared" si="2"/>
        <v>OK</v>
      </c>
    </row>
    <row r="169" spans="1:5" x14ac:dyDescent="0.2">
      <c r="A169" s="2">
        <v>20618</v>
      </c>
      <c r="B169" t="s">
        <v>30</v>
      </c>
      <c r="E169" t="str">
        <f t="shared" si="2"/>
        <v>OK</v>
      </c>
    </row>
    <row r="170" spans="1:5" x14ac:dyDescent="0.2">
      <c r="A170" s="2">
        <v>20619</v>
      </c>
      <c r="B170" t="s">
        <v>15</v>
      </c>
      <c r="E170" t="str">
        <f t="shared" si="2"/>
        <v>OK</v>
      </c>
    </row>
    <row r="171" spans="1:5" x14ac:dyDescent="0.2">
      <c r="A171" s="2">
        <v>20621</v>
      </c>
      <c r="B171" t="s">
        <v>126</v>
      </c>
      <c r="D171" s="5" t="s">
        <v>410</v>
      </c>
      <c r="E171" t="str">
        <f t="shared" si="2"/>
        <v>OK</v>
      </c>
    </row>
    <row r="172" spans="1:5" x14ac:dyDescent="0.2">
      <c r="A172" s="2">
        <v>20623</v>
      </c>
      <c r="B172" t="s">
        <v>117</v>
      </c>
      <c r="D172" s="5" t="s">
        <v>410</v>
      </c>
      <c r="E172" t="str">
        <f t="shared" si="2"/>
        <v>OK</v>
      </c>
    </row>
    <row r="173" spans="1:5" x14ac:dyDescent="0.2">
      <c r="A173" s="2">
        <v>20629</v>
      </c>
      <c r="B173" t="s">
        <v>188</v>
      </c>
      <c r="E173" t="str">
        <f t="shared" si="2"/>
        <v>OK</v>
      </c>
    </row>
    <row r="174" spans="1:5" x14ac:dyDescent="0.2">
      <c r="A174" s="2">
        <v>20632</v>
      </c>
      <c r="B174" t="s">
        <v>122</v>
      </c>
      <c r="E174" t="str">
        <f t="shared" si="2"/>
        <v>OK</v>
      </c>
    </row>
    <row r="175" spans="1:5" x14ac:dyDescent="0.2">
      <c r="A175" s="2">
        <v>20633</v>
      </c>
      <c r="B175" t="s">
        <v>63</v>
      </c>
      <c r="E175" t="str">
        <f t="shared" si="2"/>
        <v>OK</v>
      </c>
    </row>
    <row r="176" spans="1:5" x14ac:dyDescent="0.2">
      <c r="A176" s="2">
        <v>20634</v>
      </c>
      <c r="B176" s="1" t="s">
        <v>67</v>
      </c>
      <c r="E176" t="str">
        <f t="shared" si="2"/>
        <v>OK</v>
      </c>
    </row>
    <row r="177" spans="1:5" x14ac:dyDescent="0.2">
      <c r="A177" s="2">
        <v>20636</v>
      </c>
      <c r="B177" t="s">
        <v>86</v>
      </c>
      <c r="E177" t="str">
        <f t="shared" si="2"/>
        <v>OK</v>
      </c>
    </row>
    <row r="178" spans="1:5" x14ac:dyDescent="0.2">
      <c r="A178" s="2">
        <v>20637</v>
      </c>
      <c r="B178" t="s">
        <v>149</v>
      </c>
      <c r="E178" t="str">
        <f t="shared" si="2"/>
        <v>OK</v>
      </c>
    </row>
    <row r="179" spans="1:5" x14ac:dyDescent="0.2">
      <c r="A179" s="2">
        <v>20639</v>
      </c>
      <c r="B179" s="1" t="s">
        <v>37</v>
      </c>
      <c r="E179" t="str">
        <f t="shared" si="2"/>
        <v>OK</v>
      </c>
    </row>
    <row r="180" spans="1:5" x14ac:dyDescent="0.2">
      <c r="A180" s="3">
        <v>20641</v>
      </c>
      <c r="B180" s="1" t="s">
        <v>186</v>
      </c>
      <c r="D180" t="s">
        <v>327</v>
      </c>
      <c r="E180" t="str">
        <f t="shared" si="2"/>
        <v>OK</v>
      </c>
    </row>
    <row r="181" spans="1:5" x14ac:dyDescent="0.2">
      <c r="A181" s="4">
        <v>20643</v>
      </c>
      <c r="B181" s="5" t="s">
        <v>285</v>
      </c>
      <c r="E181" t="str">
        <f t="shared" si="2"/>
        <v>OK</v>
      </c>
    </row>
    <row r="182" spans="1:5" x14ac:dyDescent="0.2">
      <c r="A182" s="3">
        <v>20644</v>
      </c>
      <c r="B182" s="1" t="s">
        <v>151</v>
      </c>
      <c r="D182" s="5" t="s">
        <v>327</v>
      </c>
      <c r="E182" t="str">
        <f t="shared" si="2"/>
        <v>OK</v>
      </c>
    </row>
    <row r="183" spans="1:5" x14ac:dyDescent="0.2">
      <c r="A183" s="2">
        <v>20647</v>
      </c>
      <c r="B183" t="s">
        <v>205</v>
      </c>
      <c r="E183" t="str">
        <f t="shared" si="2"/>
        <v>OK</v>
      </c>
    </row>
    <row r="184" spans="1:5" x14ac:dyDescent="0.2">
      <c r="A184" s="2">
        <v>20648</v>
      </c>
      <c r="B184" t="s">
        <v>267</v>
      </c>
      <c r="D184" s="5" t="s">
        <v>409</v>
      </c>
      <c r="E184" t="str">
        <f t="shared" si="2"/>
        <v>OK</v>
      </c>
    </row>
    <row r="185" spans="1:5" x14ac:dyDescent="0.2">
      <c r="A185" s="3">
        <v>20650</v>
      </c>
      <c r="B185" s="1" t="s">
        <v>20</v>
      </c>
      <c r="D185" s="5" t="s">
        <v>327</v>
      </c>
      <c r="E185" t="str">
        <f t="shared" si="2"/>
        <v>OK</v>
      </c>
    </row>
    <row r="186" spans="1:5" x14ac:dyDescent="0.2">
      <c r="A186" s="2">
        <v>20651</v>
      </c>
      <c r="B186" s="5" t="s">
        <v>422</v>
      </c>
      <c r="D186" s="5" t="s">
        <v>410</v>
      </c>
      <c r="E186" t="str">
        <f t="shared" si="2"/>
        <v>OK</v>
      </c>
    </row>
    <row r="187" spans="1:5" x14ac:dyDescent="0.2">
      <c r="A187" s="2">
        <v>20652</v>
      </c>
      <c r="B187" t="s">
        <v>220</v>
      </c>
      <c r="D187" s="5" t="s">
        <v>409</v>
      </c>
      <c r="E187" t="str">
        <f t="shared" si="2"/>
        <v>OK</v>
      </c>
    </row>
    <row r="188" spans="1:5" x14ac:dyDescent="0.2">
      <c r="A188" s="2">
        <v>20657</v>
      </c>
      <c r="B188" t="s">
        <v>65</v>
      </c>
      <c r="E188" t="str">
        <f t="shared" si="2"/>
        <v>OK</v>
      </c>
    </row>
    <row r="189" spans="1:5" x14ac:dyDescent="0.2">
      <c r="A189" s="2">
        <v>20658</v>
      </c>
      <c r="B189" t="s">
        <v>207</v>
      </c>
      <c r="E189" t="str">
        <f t="shared" si="2"/>
        <v>OK</v>
      </c>
    </row>
    <row r="190" spans="1:5" x14ac:dyDescent="0.2">
      <c r="A190" s="3">
        <v>20660</v>
      </c>
      <c r="B190" s="1" t="s">
        <v>136</v>
      </c>
      <c r="D190" s="5" t="s">
        <v>410</v>
      </c>
      <c r="E190" t="str">
        <f t="shared" si="2"/>
        <v>OK</v>
      </c>
    </row>
    <row r="191" spans="1:5" x14ac:dyDescent="0.2">
      <c r="A191" s="2">
        <v>20663</v>
      </c>
      <c r="B191" t="s">
        <v>271</v>
      </c>
      <c r="D191" s="5" t="s">
        <v>327</v>
      </c>
      <c r="E191" t="str">
        <f t="shared" si="2"/>
        <v>OK</v>
      </c>
    </row>
    <row r="192" spans="1:5" x14ac:dyDescent="0.2">
      <c r="A192" s="2">
        <v>20665</v>
      </c>
      <c r="B192" t="s">
        <v>87</v>
      </c>
      <c r="D192" s="5" t="s">
        <v>410</v>
      </c>
      <c r="E192" t="str">
        <f t="shared" si="2"/>
        <v>OK</v>
      </c>
    </row>
    <row r="193" spans="1:5" x14ac:dyDescent="0.2">
      <c r="A193" s="2">
        <v>20666</v>
      </c>
      <c r="B193" t="s">
        <v>92</v>
      </c>
      <c r="E193" t="str">
        <f t="shared" si="2"/>
        <v>OK</v>
      </c>
    </row>
    <row r="194" spans="1:5" x14ac:dyDescent="0.2">
      <c r="A194" s="3">
        <v>20667</v>
      </c>
      <c r="B194" s="1" t="s">
        <v>23</v>
      </c>
      <c r="E194" t="str">
        <f t="shared" ref="E194:E257" si="3">IF(COUNTIF($A:$A,A194)&gt;1,"DOPPELT","OK")</f>
        <v>OK</v>
      </c>
    </row>
    <row r="195" spans="1:5" x14ac:dyDescent="0.2">
      <c r="A195" s="2">
        <v>20668</v>
      </c>
      <c r="B195" t="s">
        <v>146</v>
      </c>
      <c r="E195" t="str">
        <f t="shared" si="3"/>
        <v>OK</v>
      </c>
    </row>
    <row r="196" spans="1:5" x14ac:dyDescent="0.2">
      <c r="A196" s="2">
        <v>20671</v>
      </c>
      <c r="B196" t="s">
        <v>13</v>
      </c>
      <c r="E196" t="str">
        <f t="shared" si="3"/>
        <v>OK</v>
      </c>
    </row>
    <row r="197" spans="1:5" x14ac:dyDescent="0.2">
      <c r="A197" s="2">
        <v>20680</v>
      </c>
      <c r="B197" t="s">
        <v>59</v>
      </c>
      <c r="E197" t="str">
        <f t="shared" si="3"/>
        <v>OK</v>
      </c>
    </row>
    <row r="198" spans="1:5" x14ac:dyDescent="0.2">
      <c r="A198" s="3">
        <v>20683</v>
      </c>
      <c r="B198" s="1" t="s">
        <v>94</v>
      </c>
      <c r="D198" t="s">
        <v>409</v>
      </c>
      <c r="E198" t="str">
        <f t="shared" si="3"/>
        <v>OK</v>
      </c>
    </row>
    <row r="199" spans="1:5" x14ac:dyDescent="0.2">
      <c r="A199" s="2">
        <v>20685</v>
      </c>
      <c r="B199" t="s">
        <v>31</v>
      </c>
      <c r="E199" t="str">
        <f t="shared" si="3"/>
        <v>OK</v>
      </c>
    </row>
    <row r="200" spans="1:5" x14ac:dyDescent="0.2">
      <c r="A200" s="2">
        <v>20686</v>
      </c>
      <c r="B200" t="s">
        <v>131</v>
      </c>
      <c r="E200" t="str">
        <f t="shared" si="3"/>
        <v>OK</v>
      </c>
    </row>
    <row r="201" spans="1:5" x14ac:dyDescent="0.2">
      <c r="A201" s="3">
        <v>20689</v>
      </c>
      <c r="B201" t="s">
        <v>53</v>
      </c>
      <c r="E201" t="str">
        <f t="shared" si="3"/>
        <v>OK</v>
      </c>
    </row>
    <row r="202" spans="1:5" x14ac:dyDescent="0.2">
      <c r="A202" s="2">
        <v>20691</v>
      </c>
      <c r="B202" t="s">
        <v>347</v>
      </c>
      <c r="E202" t="str">
        <f t="shared" si="3"/>
        <v>OK</v>
      </c>
    </row>
    <row r="203" spans="1:5" x14ac:dyDescent="0.2">
      <c r="A203" s="2">
        <v>20693</v>
      </c>
      <c r="B203" t="s">
        <v>32</v>
      </c>
      <c r="E203" t="str">
        <f t="shared" si="3"/>
        <v>OK</v>
      </c>
    </row>
    <row r="204" spans="1:5" x14ac:dyDescent="0.2">
      <c r="A204" s="4">
        <v>20695</v>
      </c>
      <c r="B204" s="5" t="s">
        <v>113</v>
      </c>
      <c r="E204" t="str">
        <f t="shared" si="3"/>
        <v>OK</v>
      </c>
    </row>
    <row r="205" spans="1:5" x14ac:dyDescent="0.2">
      <c r="A205" s="4">
        <v>20696</v>
      </c>
      <c r="B205" s="5" t="s">
        <v>218</v>
      </c>
      <c r="D205" t="s">
        <v>327</v>
      </c>
      <c r="E205" t="str">
        <f t="shared" si="3"/>
        <v>OK</v>
      </c>
    </row>
    <row r="206" spans="1:5" x14ac:dyDescent="0.2">
      <c r="A206" s="4">
        <v>20698</v>
      </c>
      <c r="B206" s="5" t="s">
        <v>249</v>
      </c>
      <c r="E206" t="str">
        <f t="shared" si="3"/>
        <v>OK</v>
      </c>
    </row>
    <row r="207" spans="1:5" x14ac:dyDescent="0.2">
      <c r="A207" s="4">
        <v>20699</v>
      </c>
      <c r="B207" s="5" t="s">
        <v>180</v>
      </c>
      <c r="E207" t="str">
        <f t="shared" si="3"/>
        <v>OK</v>
      </c>
    </row>
    <row r="208" spans="1:5" x14ac:dyDescent="0.2">
      <c r="A208" s="4">
        <v>20701</v>
      </c>
      <c r="B208" s="5" t="s">
        <v>10</v>
      </c>
      <c r="D208" t="s">
        <v>408</v>
      </c>
      <c r="E208" t="str">
        <f t="shared" si="3"/>
        <v>OK</v>
      </c>
    </row>
    <row r="209" spans="1:5" x14ac:dyDescent="0.2">
      <c r="A209" s="2">
        <v>20702</v>
      </c>
      <c r="B209" t="s">
        <v>176</v>
      </c>
      <c r="D209" t="s">
        <v>327</v>
      </c>
      <c r="E209" t="str">
        <f t="shared" si="3"/>
        <v>OK</v>
      </c>
    </row>
    <row r="210" spans="1:5" x14ac:dyDescent="0.2">
      <c r="A210" s="2">
        <v>20703</v>
      </c>
      <c r="B210" t="s">
        <v>172</v>
      </c>
      <c r="E210" t="str">
        <f t="shared" si="3"/>
        <v>OK</v>
      </c>
    </row>
    <row r="211" spans="1:5" x14ac:dyDescent="0.2">
      <c r="A211" s="2">
        <v>20708</v>
      </c>
      <c r="B211" t="s">
        <v>3</v>
      </c>
      <c r="D211" t="s">
        <v>407</v>
      </c>
      <c r="E211" t="str">
        <f t="shared" si="3"/>
        <v>OK</v>
      </c>
    </row>
    <row r="212" spans="1:5" x14ac:dyDescent="0.2">
      <c r="A212" s="2">
        <v>20711</v>
      </c>
      <c r="B212" t="s">
        <v>342</v>
      </c>
      <c r="E212" t="str">
        <f t="shared" si="3"/>
        <v>OK</v>
      </c>
    </row>
    <row r="213" spans="1:5" x14ac:dyDescent="0.2">
      <c r="A213" s="2">
        <v>20716</v>
      </c>
      <c r="B213" t="s">
        <v>333</v>
      </c>
      <c r="E213" t="str">
        <f t="shared" si="3"/>
        <v>OK</v>
      </c>
    </row>
    <row r="214" spans="1:5" x14ac:dyDescent="0.2">
      <c r="A214" s="2">
        <v>20717</v>
      </c>
      <c r="B214" t="s">
        <v>148</v>
      </c>
      <c r="D214" t="s">
        <v>410</v>
      </c>
      <c r="E214" t="str">
        <f t="shared" si="3"/>
        <v>OK</v>
      </c>
    </row>
    <row r="215" spans="1:5" x14ac:dyDescent="0.2">
      <c r="A215" s="4">
        <v>20718</v>
      </c>
      <c r="B215" s="5" t="s">
        <v>139</v>
      </c>
      <c r="E215" t="str">
        <f t="shared" si="3"/>
        <v>OK</v>
      </c>
    </row>
    <row r="216" spans="1:5" x14ac:dyDescent="0.2">
      <c r="A216" s="4">
        <v>20722</v>
      </c>
      <c r="B216" s="5" t="s">
        <v>169</v>
      </c>
      <c r="E216" t="str">
        <f t="shared" si="3"/>
        <v>OK</v>
      </c>
    </row>
    <row r="217" spans="1:5" x14ac:dyDescent="0.2">
      <c r="A217" s="4">
        <v>20723</v>
      </c>
      <c r="B217" s="5" t="s">
        <v>162</v>
      </c>
      <c r="E217" t="str">
        <f t="shared" si="3"/>
        <v>OK</v>
      </c>
    </row>
    <row r="218" spans="1:5" x14ac:dyDescent="0.2">
      <c r="A218" s="4">
        <v>20725</v>
      </c>
      <c r="B218" s="5" t="s">
        <v>75</v>
      </c>
      <c r="D218" t="s">
        <v>327</v>
      </c>
      <c r="E218" t="str">
        <f t="shared" si="3"/>
        <v>OK</v>
      </c>
    </row>
    <row r="219" spans="1:5" x14ac:dyDescent="0.2">
      <c r="A219" s="4">
        <v>20726</v>
      </c>
      <c r="B219" s="5" t="s">
        <v>79</v>
      </c>
      <c r="E219" t="str">
        <f t="shared" si="3"/>
        <v>OK</v>
      </c>
    </row>
    <row r="220" spans="1:5" x14ac:dyDescent="0.2">
      <c r="A220" s="4">
        <v>20727</v>
      </c>
      <c r="B220" s="5" t="s">
        <v>413</v>
      </c>
      <c r="E220" t="str">
        <f t="shared" si="3"/>
        <v>OK</v>
      </c>
    </row>
    <row r="221" spans="1:5" x14ac:dyDescent="0.2">
      <c r="A221" s="4">
        <v>20728</v>
      </c>
      <c r="B221" s="8" t="s">
        <v>14</v>
      </c>
      <c r="E221" t="str">
        <f t="shared" si="3"/>
        <v>OK</v>
      </c>
    </row>
    <row r="222" spans="1:5" x14ac:dyDescent="0.2">
      <c r="A222" s="4">
        <v>20729</v>
      </c>
      <c r="B222" s="5" t="s">
        <v>215</v>
      </c>
      <c r="D222" t="s">
        <v>410</v>
      </c>
      <c r="E222" t="str">
        <f t="shared" si="3"/>
        <v>OK</v>
      </c>
    </row>
    <row r="223" spans="1:5" x14ac:dyDescent="0.2">
      <c r="A223" s="2">
        <v>20730</v>
      </c>
      <c r="B223" t="s">
        <v>348</v>
      </c>
      <c r="E223" t="str">
        <f t="shared" si="3"/>
        <v>OK</v>
      </c>
    </row>
    <row r="224" spans="1:5" x14ac:dyDescent="0.2">
      <c r="A224" s="4">
        <v>20732</v>
      </c>
      <c r="B224" t="s">
        <v>71</v>
      </c>
      <c r="E224" t="str">
        <f t="shared" si="3"/>
        <v>OK</v>
      </c>
    </row>
    <row r="225" spans="1:5" x14ac:dyDescent="0.2">
      <c r="A225" s="2">
        <v>20733</v>
      </c>
      <c r="B225" t="s">
        <v>156</v>
      </c>
      <c r="E225" t="str">
        <f t="shared" si="3"/>
        <v>OK</v>
      </c>
    </row>
    <row r="226" spans="1:5" x14ac:dyDescent="0.2">
      <c r="A226" s="2">
        <v>20736</v>
      </c>
      <c r="B226" t="s">
        <v>137</v>
      </c>
      <c r="E226" t="str">
        <f t="shared" si="3"/>
        <v>OK</v>
      </c>
    </row>
    <row r="227" spans="1:5" x14ac:dyDescent="0.2">
      <c r="A227" s="2">
        <v>20738</v>
      </c>
      <c r="B227" t="s">
        <v>230</v>
      </c>
      <c r="E227" t="str">
        <f t="shared" si="3"/>
        <v>OK</v>
      </c>
    </row>
    <row r="228" spans="1:5" x14ac:dyDescent="0.2">
      <c r="A228" s="2">
        <v>20739</v>
      </c>
      <c r="B228" t="s">
        <v>175</v>
      </c>
      <c r="D228" t="s">
        <v>410</v>
      </c>
      <c r="E228" t="str">
        <f t="shared" si="3"/>
        <v>OK</v>
      </c>
    </row>
    <row r="229" spans="1:5" x14ac:dyDescent="0.2">
      <c r="A229" s="2">
        <v>20743</v>
      </c>
      <c r="B229" t="s">
        <v>414</v>
      </c>
      <c r="E229" t="str">
        <f t="shared" si="3"/>
        <v>OK</v>
      </c>
    </row>
    <row r="230" spans="1:5" x14ac:dyDescent="0.2">
      <c r="A230" s="2">
        <v>20744</v>
      </c>
      <c r="B230" t="s">
        <v>415</v>
      </c>
      <c r="E230" t="str">
        <f t="shared" si="3"/>
        <v>OK</v>
      </c>
    </row>
    <row r="231" spans="1:5" x14ac:dyDescent="0.2">
      <c r="A231" s="2">
        <v>20745</v>
      </c>
      <c r="B231" t="s">
        <v>171</v>
      </c>
      <c r="E231" t="str">
        <f t="shared" si="3"/>
        <v>OK</v>
      </c>
    </row>
    <row r="232" spans="1:5" x14ac:dyDescent="0.2">
      <c r="A232" s="2">
        <v>20746</v>
      </c>
      <c r="B232" t="s">
        <v>170</v>
      </c>
      <c r="E232" t="str">
        <f t="shared" si="3"/>
        <v>OK</v>
      </c>
    </row>
    <row r="233" spans="1:5" x14ac:dyDescent="0.2">
      <c r="A233" s="4">
        <v>20748</v>
      </c>
      <c r="B233" s="5" t="s">
        <v>158</v>
      </c>
      <c r="C233" t="s">
        <v>410</v>
      </c>
      <c r="E233" t="str">
        <f t="shared" si="3"/>
        <v>OK</v>
      </c>
    </row>
    <row r="234" spans="1:5" x14ac:dyDescent="0.2">
      <c r="A234" s="2">
        <v>20749</v>
      </c>
      <c r="B234" t="s">
        <v>8</v>
      </c>
      <c r="E234" t="str">
        <f t="shared" si="3"/>
        <v>OK</v>
      </c>
    </row>
    <row r="235" spans="1:5" x14ac:dyDescent="0.2">
      <c r="A235" s="2">
        <v>20751</v>
      </c>
      <c r="B235" t="s">
        <v>164</v>
      </c>
      <c r="C235" t="s">
        <v>410</v>
      </c>
      <c r="E235" t="str">
        <f t="shared" si="3"/>
        <v>OK</v>
      </c>
    </row>
    <row r="236" spans="1:5" x14ac:dyDescent="0.2">
      <c r="A236" s="2">
        <v>20752</v>
      </c>
      <c r="B236" t="s">
        <v>163</v>
      </c>
      <c r="E236" t="str">
        <f t="shared" si="3"/>
        <v>OK</v>
      </c>
    </row>
    <row r="237" spans="1:5" x14ac:dyDescent="0.2">
      <c r="A237" s="4">
        <v>20753</v>
      </c>
      <c r="B237" s="5" t="s">
        <v>181</v>
      </c>
      <c r="E237" t="str">
        <f t="shared" si="3"/>
        <v>OK</v>
      </c>
    </row>
    <row r="238" spans="1:5" x14ac:dyDescent="0.2">
      <c r="A238" s="2">
        <v>20757</v>
      </c>
      <c r="B238" t="s">
        <v>34</v>
      </c>
      <c r="C238" t="s">
        <v>489</v>
      </c>
      <c r="E238" t="str">
        <f t="shared" si="3"/>
        <v>OK</v>
      </c>
    </row>
    <row r="239" spans="1:5" x14ac:dyDescent="0.2">
      <c r="A239" s="2">
        <v>20759</v>
      </c>
      <c r="B239" t="s">
        <v>110</v>
      </c>
      <c r="E239" t="str">
        <f t="shared" si="3"/>
        <v>OK</v>
      </c>
    </row>
    <row r="240" spans="1:5" x14ac:dyDescent="0.2">
      <c r="A240" s="2">
        <v>20761</v>
      </c>
      <c r="B240" t="s">
        <v>118</v>
      </c>
      <c r="E240" t="str">
        <f t="shared" si="3"/>
        <v>OK</v>
      </c>
    </row>
    <row r="241" spans="1:5" x14ac:dyDescent="0.2">
      <c r="A241" s="2">
        <v>20763</v>
      </c>
      <c r="B241" t="s">
        <v>155</v>
      </c>
      <c r="C241" s="5" t="s">
        <v>488</v>
      </c>
      <c r="D241" t="s">
        <v>409</v>
      </c>
      <c r="E241" t="str">
        <f t="shared" si="3"/>
        <v>OK</v>
      </c>
    </row>
    <row r="242" spans="1:5" x14ac:dyDescent="0.2">
      <c r="A242" s="2">
        <v>20764</v>
      </c>
      <c r="B242" t="s">
        <v>76</v>
      </c>
      <c r="E242" t="str">
        <f t="shared" si="3"/>
        <v>OK</v>
      </c>
    </row>
    <row r="243" spans="1:5" x14ac:dyDescent="0.2">
      <c r="A243" s="4">
        <v>20765</v>
      </c>
      <c r="B243" s="5" t="s">
        <v>130</v>
      </c>
      <c r="D243" t="s">
        <v>410</v>
      </c>
      <c r="E243" t="str">
        <f t="shared" si="3"/>
        <v>OK</v>
      </c>
    </row>
    <row r="244" spans="1:5" x14ac:dyDescent="0.2">
      <c r="A244" s="2">
        <v>20770</v>
      </c>
      <c r="B244" t="s">
        <v>9</v>
      </c>
      <c r="E244" t="str">
        <f t="shared" si="3"/>
        <v>OK</v>
      </c>
    </row>
    <row r="245" spans="1:5" x14ac:dyDescent="0.2">
      <c r="A245" s="2">
        <v>20771</v>
      </c>
      <c r="B245" t="s">
        <v>275</v>
      </c>
      <c r="E245" t="str">
        <f t="shared" si="3"/>
        <v>OK</v>
      </c>
    </row>
    <row r="246" spans="1:5" x14ac:dyDescent="0.2">
      <c r="A246" s="2">
        <v>20773</v>
      </c>
      <c r="B246" t="s">
        <v>211</v>
      </c>
      <c r="C246" t="s">
        <v>410</v>
      </c>
      <c r="E246" t="str">
        <f t="shared" si="3"/>
        <v>OK</v>
      </c>
    </row>
    <row r="247" spans="1:5" x14ac:dyDescent="0.2">
      <c r="A247" s="2">
        <v>20774</v>
      </c>
      <c r="B247" t="s">
        <v>226</v>
      </c>
      <c r="E247" t="str">
        <f t="shared" si="3"/>
        <v>OK</v>
      </c>
    </row>
    <row r="248" spans="1:5" x14ac:dyDescent="0.2">
      <c r="A248" s="2">
        <v>20775</v>
      </c>
      <c r="B248" t="s">
        <v>223</v>
      </c>
      <c r="E248" t="str">
        <f t="shared" si="3"/>
        <v>OK</v>
      </c>
    </row>
    <row r="249" spans="1:5" x14ac:dyDescent="0.2">
      <c r="A249" s="2">
        <v>20776</v>
      </c>
      <c r="B249" t="s">
        <v>278</v>
      </c>
      <c r="E249" t="str">
        <f t="shared" si="3"/>
        <v>OK</v>
      </c>
    </row>
    <row r="250" spans="1:5" x14ac:dyDescent="0.2">
      <c r="A250" s="2">
        <v>20777</v>
      </c>
      <c r="B250" t="s">
        <v>487</v>
      </c>
      <c r="E250" t="str">
        <f t="shared" si="3"/>
        <v>OK</v>
      </c>
    </row>
    <row r="251" spans="1:5" x14ac:dyDescent="0.2">
      <c r="A251" s="2">
        <v>20778</v>
      </c>
      <c r="B251" t="s">
        <v>486</v>
      </c>
      <c r="E251" t="str">
        <f t="shared" si="3"/>
        <v>OK</v>
      </c>
    </row>
    <row r="252" spans="1:5" x14ac:dyDescent="0.2">
      <c r="A252" s="3">
        <v>20779</v>
      </c>
      <c r="B252" s="5" t="s">
        <v>174</v>
      </c>
      <c r="D252" t="s">
        <v>409</v>
      </c>
      <c r="E252" t="str">
        <f t="shared" si="3"/>
        <v>OK</v>
      </c>
    </row>
    <row r="253" spans="1:5" x14ac:dyDescent="0.2">
      <c r="A253" s="2">
        <v>20780</v>
      </c>
      <c r="B253" t="s">
        <v>258</v>
      </c>
      <c r="E253" t="str">
        <f t="shared" si="3"/>
        <v>OK</v>
      </c>
    </row>
    <row r="254" spans="1:5" x14ac:dyDescent="0.2">
      <c r="A254" s="2">
        <v>20781</v>
      </c>
      <c r="B254" t="s">
        <v>242</v>
      </c>
      <c r="E254" t="str">
        <f t="shared" si="3"/>
        <v>OK</v>
      </c>
    </row>
    <row r="255" spans="1:5" x14ac:dyDescent="0.2">
      <c r="A255" s="2">
        <v>20782</v>
      </c>
      <c r="B255" t="s">
        <v>485</v>
      </c>
      <c r="E255" t="str">
        <f t="shared" si="3"/>
        <v>OK</v>
      </c>
    </row>
    <row r="256" spans="1:5" x14ac:dyDescent="0.2">
      <c r="A256" s="2">
        <v>20784</v>
      </c>
      <c r="B256" t="s">
        <v>236</v>
      </c>
      <c r="C256" t="s">
        <v>327</v>
      </c>
      <c r="E256" t="str">
        <f t="shared" si="3"/>
        <v>OK</v>
      </c>
    </row>
    <row r="257" spans="1:5" x14ac:dyDescent="0.2">
      <c r="A257" s="2">
        <v>20785</v>
      </c>
      <c r="B257" t="s">
        <v>82</v>
      </c>
      <c r="E257" t="str">
        <f t="shared" si="3"/>
        <v>OK</v>
      </c>
    </row>
    <row r="258" spans="1:5" x14ac:dyDescent="0.2">
      <c r="A258" s="2">
        <v>20790</v>
      </c>
      <c r="B258" t="s">
        <v>138</v>
      </c>
      <c r="E258" t="str">
        <f t="shared" ref="E258:E321" si="4">IF(COUNTIF($A:$A,A258)&gt;1,"DOPPELT","OK")</f>
        <v>OK</v>
      </c>
    </row>
    <row r="259" spans="1:5" x14ac:dyDescent="0.2">
      <c r="A259" s="4">
        <v>20791</v>
      </c>
      <c r="B259" s="5" t="s">
        <v>74</v>
      </c>
      <c r="E259" t="str">
        <f t="shared" si="4"/>
        <v>OK</v>
      </c>
    </row>
    <row r="260" spans="1:5" x14ac:dyDescent="0.2">
      <c r="A260" s="2">
        <v>20792</v>
      </c>
      <c r="B260" t="s">
        <v>77</v>
      </c>
      <c r="E260" t="str">
        <f t="shared" si="4"/>
        <v>OK</v>
      </c>
    </row>
    <row r="261" spans="1:5" x14ac:dyDescent="0.2">
      <c r="A261" s="2">
        <v>20800</v>
      </c>
      <c r="B261" t="s">
        <v>222</v>
      </c>
      <c r="E261" t="str">
        <f t="shared" si="4"/>
        <v>OK</v>
      </c>
    </row>
    <row r="262" spans="1:5" x14ac:dyDescent="0.2">
      <c r="A262" s="2">
        <v>20802</v>
      </c>
      <c r="B262" t="s">
        <v>165</v>
      </c>
      <c r="E262" t="str">
        <f t="shared" si="4"/>
        <v>OK</v>
      </c>
    </row>
    <row r="263" spans="1:5" x14ac:dyDescent="0.2">
      <c r="A263" s="2">
        <v>20803</v>
      </c>
      <c r="B263" t="s">
        <v>216</v>
      </c>
      <c r="E263" t="str">
        <f t="shared" si="4"/>
        <v>OK</v>
      </c>
    </row>
    <row r="264" spans="1:5" x14ac:dyDescent="0.2">
      <c r="A264" s="2">
        <v>20804</v>
      </c>
      <c r="B264" t="s">
        <v>120</v>
      </c>
      <c r="D264" s="5" t="s">
        <v>410</v>
      </c>
      <c r="E264" t="str">
        <f t="shared" si="4"/>
        <v>OK</v>
      </c>
    </row>
    <row r="265" spans="1:5" x14ac:dyDescent="0.2">
      <c r="A265" s="2">
        <v>20805</v>
      </c>
      <c r="B265" t="s">
        <v>78</v>
      </c>
      <c r="E265" t="str">
        <f t="shared" si="4"/>
        <v>OK</v>
      </c>
    </row>
    <row r="266" spans="1:5" x14ac:dyDescent="0.2">
      <c r="A266" s="2">
        <v>20808</v>
      </c>
      <c r="B266" t="s">
        <v>237</v>
      </c>
      <c r="E266" t="str">
        <f t="shared" si="4"/>
        <v>OK</v>
      </c>
    </row>
    <row r="267" spans="1:5" x14ac:dyDescent="0.2">
      <c r="A267" s="2">
        <v>20809</v>
      </c>
      <c r="B267" t="s">
        <v>221</v>
      </c>
      <c r="E267" t="str">
        <f t="shared" si="4"/>
        <v>OK</v>
      </c>
    </row>
    <row r="268" spans="1:5" x14ac:dyDescent="0.2">
      <c r="A268" s="2">
        <v>20810</v>
      </c>
      <c r="B268" t="s">
        <v>161</v>
      </c>
      <c r="E268" t="str">
        <f t="shared" si="4"/>
        <v>OK</v>
      </c>
    </row>
    <row r="269" spans="1:5" x14ac:dyDescent="0.2">
      <c r="A269" s="2">
        <v>20811</v>
      </c>
      <c r="B269" t="s">
        <v>184</v>
      </c>
      <c r="D269" t="s">
        <v>409</v>
      </c>
      <c r="E269" t="str">
        <f t="shared" si="4"/>
        <v>OK</v>
      </c>
    </row>
    <row r="270" spans="1:5" x14ac:dyDescent="0.2">
      <c r="A270" s="2">
        <v>20812</v>
      </c>
      <c r="B270" t="s">
        <v>73</v>
      </c>
      <c r="E270" t="str">
        <f t="shared" si="4"/>
        <v>OK</v>
      </c>
    </row>
    <row r="271" spans="1:5" x14ac:dyDescent="0.2">
      <c r="A271" s="4">
        <v>20813</v>
      </c>
      <c r="B271" s="5" t="s">
        <v>286</v>
      </c>
      <c r="E271" t="str">
        <f t="shared" si="4"/>
        <v>OK</v>
      </c>
    </row>
    <row r="272" spans="1:5" x14ac:dyDescent="0.2">
      <c r="A272" s="2">
        <v>20815</v>
      </c>
      <c r="B272" t="s">
        <v>4</v>
      </c>
      <c r="D272" t="s">
        <v>410</v>
      </c>
      <c r="E272" t="str">
        <f t="shared" si="4"/>
        <v>OK</v>
      </c>
    </row>
    <row r="273" spans="1:5" x14ac:dyDescent="0.2">
      <c r="A273" s="2">
        <v>20816</v>
      </c>
      <c r="B273" t="s">
        <v>235</v>
      </c>
      <c r="E273" t="str">
        <f t="shared" si="4"/>
        <v>OK</v>
      </c>
    </row>
    <row r="274" spans="1:5" x14ac:dyDescent="0.2">
      <c r="A274" s="2">
        <v>20819</v>
      </c>
      <c r="B274" t="s">
        <v>256</v>
      </c>
      <c r="D274" t="s">
        <v>409</v>
      </c>
      <c r="E274" t="str">
        <f t="shared" si="4"/>
        <v>OK</v>
      </c>
    </row>
    <row r="275" spans="1:5" x14ac:dyDescent="0.2">
      <c r="A275" s="2">
        <v>20821</v>
      </c>
      <c r="B275" t="s">
        <v>255</v>
      </c>
      <c r="E275" t="str">
        <f t="shared" si="4"/>
        <v>OK</v>
      </c>
    </row>
    <row r="276" spans="1:5" x14ac:dyDescent="0.2">
      <c r="A276" s="2">
        <v>20822</v>
      </c>
      <c r="B276" t="s">
        <v>257</v>
      </c>
      <c r="E276" t="str">
        <f t="shared" si="4"/>
        <v>OK</v>
      </c>
    </row>
    <row r="277" spans="1:5" x14ac:dyDescent="0.2">
      <c r="A277" s="2">
        <v>20823</v>
      </c>
      <c r="B277" t="s">
        <v>141</v>
      </c>
      <c r="D277" t="s">
        <v>410</v>
      </c>
      <c r="E277" t="str">
        <f t="shared" si="4"/>
        <v>OK</v>
      </c>
    </row>
    <row r="278" spans="1:5" x14ac:dyDescent="0.2">
      <c r="A278" s="2">
        <v>20825</v>
      </c>
      <c r="B278" t="s">
        <v>2</v>
      </c>
      <c r="E278" t="str">
        <f t="shared" si="4"/>
        <v>OK</v>
      </c>
    </row>
    <row r="279" spans="1:5" x14ac:dyDescent="0.2">
      <c r="A279" s="2">
        <v>20827</v>
      </c>
      <c r="B279" t="s">
        <v>433</v>
      </c>
      <c r="D279" s="9"/>
      <c r="E279" t="str">
        <f t="shared" si="4"/>
        <v>OK</v>
      </c>
    </row>
    <row r="280" spans="1:5" x14ac:dyDescent="0.2">
      <c r="A280" s="4">
        <v>20829</v>
      </c>
      <c r="B280" s="5" t="s">
        <v>103</v>
      </c>
      <c r="E280" t="str">
        <f t="shared" si="4"/>
        <v>OK</v>
      </c>
    </row>
    <row r="281" spans="1:5" x14ac:dyDescent="0.2">
      <c r="A281" s="4">
        <v>20830</v>
      </c>
      <c r="B281" s="5" t="s">
        <v>490</v>
      </c>
      <c r="E281" t="str">
        <f t="shared" si="4"/>
        <v>OK</v>
      </c>
    </row>
    <row r="282" spans="1:5" x14ac:dyDescent="0.2">
      <c r="A282" s="4">
        <v>20832</v>
      </c>
      <c r="B282" s="5" t="s">
        <v>219</v>
      </c>
      <c r="E282" t="str">
        <f t="shared" si="4"/>
        <v>OK</v>
      </c>
    </row>
    <row r="283" spans="1:5" x14ac:dyDescent="0.2">
      <c r="A283" s="4">
        <v>20834</v>
      </c>
      <c r="B283" s="5" t="s">
        <v>204</v>
      </c>
      <c r="E283" t="str">
        <f t="shared" si="4"/>
        <v>OK</v>
      </c>
    </row>
    <row r="284" spans="1:5" x14ac:dyDescent="0.2">
      <c r="A284" s="4">
        <v>20835</v>
      </c>
      <c r="B284" s="5" t="s">
        <v>157</v>
      </c>
      <c r="C284" s="5"/>
      <c r="D284" s="5"/>
      <c r="E284" t="str">
        <f t="shared" si="4"/>
        <v>OK</v>
      </c>
    </row>
    <row r="285" spans="1:5" x14ac:dyDescent="0.2">
      <c r="A285" s="4">
        <v>20838</v>
      </c>
      <c r="B285" s="5" t="s">
        <v>269</v>
      </c>
      <c r="C285" s="5"/>
      <c r="D285" s="5"/>
      <c r="E285" t="str">
        <f t="shared" si="4"/>
        <v>OK</v>
      </c>
    </row>
    <row r="286" spans="1:5" s="5" customFormat="1" x14ac:dyDescent="0.2">
      <c r="A286" s="2">
        <v>20839</v>
      </c>
      <c r="B286" t="s">
        <v>212</v>
      </c>
      <c r="C286"/>
      <c r="D286"/>
      <c r="E286" t="str">
        <f t="shared" si="4"/>
        <v>OK</v>
      </c>
    </row>
    <row r="287" spans="1:5" s="5" customFormat="1" x14ac:dyDescent="0.2">
      <c r="A287" s="2">
        <v>20841</v>
      </c>
      <c r="B287" t="s">
        <v>210</v>
      </c>
      <c r="C287"/>
      <c r="D287"/>
      <c r="E287" t="str">
        <f t="shared" si="4"/>
        <v>OK</v>
      </c>
    </row>
    <row r="288" spans="1:5" x14ac:dyDescent="0.2">
      <c r="A288" s="2">
        <v>20842</v>
      </c>
      <c r="B288" t="s">
        <v>280</v>
      </c>
      <c r="D288" t="s">
        <v>407</v>
      </c>
      <c r="E288" t="str">
        <f t="shared" si="4"/>
        <v>OK</v>
      </c>
    </row>
    <row r="289" spans="1:5" x14ac:dyDescent="0.2">
      <c r="A289" s="2">
        <v>20843</v>
      </c>
      <c r="B289" t="s">
        <v>84</v>
      </c>
      <c r="E289" t="str">
        <f t="shared" si="4"/>
        <v>OK</v>
      </c>
    </row>
    <row r="290" spans="1:5" x14ac:dyDescent="0.2">
      <c r="A290" s="2">
        <v>20844</v>
      </c>
      <c r="B290" t="s">
        <v>46</v>
      </c>
      <c r="D290" t="s">
        <v>410</v>
      </c>
      <c r="E290" t="str">
        <f t="shared" si="4"/>
        <v>OK</v>
      </c>
    </row>
    <row r="291" spans="1:5" x14ac:dyDescent="0.2">
      <c r="A291" s="2">
        <v>20846</v>
      </c>
      <c r="B291" t="s">
        <v>374</v>
      </c>
      <c r="E291" t="str">
        <f t="shared" si="4"/>
        <v>OK</v>
      </c>
    </row>
    <row r="292" spans="1:5" x14ac:dyDescent="0.2">
      <c r="A292" s="2">
        <v>20848</v>
      </c>
      <c r="B292" t="s">
        <v>89</v>
      </c>
      <c r="D292" t="s">
        <v>327</v>
      </c>
      <c r="E292" t="str">
        <f t="shared" si="4"/>
        <v>OK</v>
      </c>
    </row>
    <row r="293" spans="1:5" x14ac:dyDescent="0.2">
      <c r="A293" s="2">
        <v>20849</v>
      </c>
      <c r="B293" t="s">
        <v>72</v>
      </c>
      <c r="E293" t="str">
        <f t="shared" si="4"/>
        <v>OK</v>
      </c>
    </row>
    <row r="294" spans="1:5" x14ac:dyDescent="0.2">
      <c r="A294" s="2">
        <v>20851</v>
      </c>
      <c r="B294" t="s">
        <v>132</v>
      </c>
      <c r="D294" t="s">
        <v>410</v>
      </c>
      <c r="E294" t="str">
        <f t="shared" si="4"/>
        <v>OK</v>
      </c>
    </row>
    <row r="295" spans="1:5" x14ac:dyDescent="0.2">
      <c r="A295" s="2">
        <v>20852</v>
      </c>
      <c r="B295" t="s">
        <v>7</v>
      </c>
      <c r="E295" t="str">
        <f t="shared" si="4"/>
        <v>OK</v>
      </c>
    </row>
    <row r="296" spans="1:5" x14ac:dyDescent="0.2">
      <c r="A296" s="2">
        <v>20853</v>
      </c>
      <c r="B296" t="s">
        <v>135</v>
      </c>
      <c r="D296" t="s">
        <v>420</v>
      </c>
      <c r="E296" t="str">
        <f t="shared" si="4"/>
        <v>OK</v>
      </c>
    </row>
    <row r="297" spans="1:5" x14ac:dyDescent="0.2">
      <c r="A297" s="2">
        <v>20854</v>
      </c>
      <c r="B297" t="s">
        <v>80</v>
      </c>
      <c r="E297" t="str">
        <f t="shared" si="4"/>
        <v>OK</v>
      </c>
    </row>
    <row r="298" spans="1:5" x14ac:dyDescent="0.2">
      <c r="A298" s="2">
        <v>20855</v>
      </c>
      <c r="B298" t="s">
        <v>83</v>
      </c>
      <c r="E298" t="str">
        <f t="shared" si="4"/>
        <v>OK</v>
      </c>
    </row>
    <row r="299" spans="1:5" x14ac:dyDescent="0.2">
      <c r="A299" s="2">
        <v>20856</v>
      </c>
      <c r="B299" t="s">
        <v>376</v>
      </c>
      <c r="E299" t="str">
        <f t="shared" si="4"/>
        <v>OK</v>
      </c>
    </row>
    <row r="300" spans="1:5" x14ac:dyDescent="0.2">
      <c r="A300" s="2">
        <v>20857</v>
      </c>
      <c r="B300" t="s">
        <v>152</v>
      </c>
      <c r="E300" t="str">
        <f t="shared" si="4"/>
        <v>OK</v>
      </c>
    </row>
    <row r="301" spans="1:5" x14ac:dyDescent="0.2">
      <c r="A301" s="2">
        <v>20858</v>
      </c>
      <c r="B301" t="s">
        <v>105</v>
      </c>
      <c r="E301" t="str">
        <f t="shared" si="4"/>
        <v>OK</v>
      </c>
    </row>
    <row r="302" spans="1:5" x14ac:dyDescent="0.2">
      <c r="A302" s="4">
        <v>20859</v>
      </c>
      <c r="B302" s="5" t="s">
        <v>160</v>
      </c>
      <c r="D302" t="s">
        <v>420</v>
      </c>
      <c r="E302" t="str">
        <f t="shared" si="4"/>
        <v>OK</v>
      </c>
    </row>
    <row r="303" spans="1:5" x14ac:dyDescent="0.2">
      <c r="A303" s="4">
        <v>20860</v>
      </c>
      <c r="B303" s="5" t="s">
        <v>425</v>
      </c>
      <c r="E303" t="str">
        <f t="shared" si="4"/>
        <v>OK</v>
      </c>
    </row>
    <row r="304" spans="1:5" x14ac:dyDescent="0.2">
      <c r="A304" s="2">
        <v>20861</v>
      </c>
      <c r="B304" t="s">
        <v>167</v>
      </c>
      <c r="D304" t="s">
        <v>420</v>
      </c>
      <c r="E304" t="str">
        <f t="shared" si="4"/>
        <v>OK</v>
      </c>
    </row>
    <row r="305" spans="1:5" x14ac:dyDescent="0.2">
      <c r="A305" s="2">
        <v>20862</v>
      </c>
      <c r="B305" t="s">
        <v>173</v>
      </c>
      <c r="E305" t="str">
        <f t="shared" si="4"/>
        <v>OK</v>
      </c>
    </row>
    <row r="306" spans="1:5" x14ac:dyDescent="0.2">
      <c r="A306" s="2">
        <v>20863</v>
      </c>
      <c r="B306" t="s">
        <v>232</v>
      </c>
      <c r="E306" t="str">
        <f t="shared" si="4"/>
        <v>OK</v>
      </c>
    </row>
    <row r="307" spans="1:5" x14ac:dyDescent="0.2">
      <c r="A307" s="2">
        <v>20865</v>
      </c>
      <c r="B307" t="s">
        <v>239</v>
      </c>
      <c r="D307" t="s">
        <v>420</v>
      </c>
      <c r="E307" t="str">
        <f t="shared" si="4"/>
        <v>OK</v>
      </c>
    </row>
    <row r="308" spans="1:5" x14ac:dyDescent="0.2">
      <c r="A308" s="2">
        <v>20866</v>
      </c>
      <c r="B308" t="s">
        <v>293</v>
      </c>
      <c r="E308" t="str">
        <f t="shared" si="4"/>
        <v>OK</v>
      </c>
    </row>
    <row r="309" spans="1:5" x14ac:dyDescent="0.2">
      <c r="A309" s="4">
        <v>20867</v>
      </c>
      <c r="B309" s="5" t="s">
        <v>246</v>
      </c>
      <c r="D309" t="s">
        <v>420</v>
      </c>
      <c r="E309" t="str">
        <f t="shared" si="4"/>
        <v>OK</v>
      </c>
    </row>
    <row r="310" spans="1:5" x14ac:dyDescent="0.2">
      <c r="A310" s="4">
        <v>20868</v>
      </c>
      <c r="B310" s="5" t="s">
        <v>252</v>
      </c>
      <c r="D310" t="s">
        <v>327</v>
      </c>
      <c r="E310" t="str">
        <f t="shared" si="4"/>
        <v>OK</v>
      </c>
    </row>
    <row r="311" spans="1:5" x14ac:dyDescent="0.2">
      <c r="A311" s="4">
        <v>20869</v>
      </c>
      <c r="B311" s="5" t="s">
        <v>262</v>
      </c>
      <c r="E311" t="str">
        <f t="shared" si="4"/>
        <v>OK</v>
      </c>
    </row>
    <row r="312" spans="1:5" x14ac:dyDescent="0.2">
      <c r="A312" s="4">
        <v>20870</v>
      </c>
      <c r="B312" s="5" t="s">
        <v>273</v>
      </c>
      <c r="E312" t="str">
        <f t="shared" si="4"/>
        <v>OK</v>
      </c>
    </row>
    <row r="313" spans="1:5" x14ac:dyDescent="0.2">
      <c r="A313" s="4">
        <v>20871</v>
      </c>
      <c r="B313" s="5" t="s">
        <v>375</v>
      </c>
      <c r="E313" t="str">
        <f t="shared" si="4"/>
        <v>OK</v>
      </c>
    </row>
    <row r="314" spans="1:5" x14ac:dyDescent="0.2">
      <c r="A314" s="4">
        <v>20872</v>
      </c>
      <c r="B314" s="5" t="s">
        <v>16</v>
      </c>
      <c r="E314" t="str">
        <f t="shared" si="4"/>
        <v>OK</v>
      </c>
    </row>
    <row r="315" spans="1:5" x14ac:dyDescent="0.2">
      <c r="A315" s="4">
        <v>20873</v>
      </c>
      <c r="B315" s="5" t="s">
        <v>39</v>
      </c>
      <c r="E315" t="str">
        <f t="shared" si="4"/>
        <v>OK</v>
      </c>
    </row>
    <row r="316" spans="1:5" x14ac:dyDescent="0.2">
      <c r="A316" s="4">
        <v>20874</v>
      </c>
      <c r="B316" s="5" t="s">
        <v>40</v>
      </c>
      <c r="E316" t="str">
        <f t="shared" si="4"/>
        <v>OK</v>
      </c>
    </row>
    <row r="317" spans="1:5" x14ac:dyDescent="0.2">
      <c r="A317" s="2">
        <v>20875</v>
      </c>
      <c r="B317" t="s">
        <v>51</v>
      </c>
      <c r="E317" t="str">
        <f t="shared" si="4"/>
        <v>OK</v>
      </c>
    </row>
    <row r="318" spans="1:5" x14ac:dyDescent="0.2">
      <c r="A318" s="2">
        <v>20876</v>
      </c>
      <c r="B318" t="s">
        <v>55</v>
      </c>
      <c r="E318" t="str">
        <f t="shared" si="4"/>
        <v>OK</v>
      </c>
    </row>
    <row r="319" spans="1:5" x14ac:dyDescent="0.2">
      <c r="A319" s="2">
        <v>20877</v>
      </c>
      <c r="B319" t="s">
        <v>81</v>
      </c>
      <c r="E319" t="str">
        <f t="shared" si="4"/>
        <v>OK</v>
      </c>
    </row>
    <row r="320" spans="1:5" x14ac:dyDescent="0.2">
      <c r="A320" s="2">
        <v>20878</v>
      </c>
      <c r="B320" t="s">
        <v>85</v>
      </c>
      <c r="E320" t="str">
        <f t="shared" si="4"/>
        <v>OK</v>
      </c>
    </row>
    <row r="321" spans="1:5" x14ac:dyDescent="0.2">
      <c r="A321" s="2">
        <v>20879</v>
      </c>
      <c r="B321" t="s">
        <v>107</v>
      </c>
      <c r="E321" t="str">
        <f t="shared" si="4"/>
        <v>OK</v>
      </c>
    </row>
    <row r="322" spans="1:5" x14ac:dyDescent="0.2">
      <c r="A322" s="2">
        <v>20880</v>
      </c>
      <c r="B322" t="s">
        <v>326</v>
      </c>
      <c r="E322" t="str">
        <f t="shared" ref="E322:E385" si="5">IF(COUNTIF($A:$A,A322)&gt;1,"DOPPELT","OK")</f>
        <v>OK</v>
      </c>
    </row>
    <row r="323" spans="1:5" x14ac:dyDescent="0.2">
      <c r="A323" s="2">
        <v>20881</v>
      </c>
      <c r="B323" t="s">
        <v>329</v>
      </c>
      <c r="C323" s="7" t="s">
        <v>328</v>
      </c>
      <c r="D323" t="s">
        <v>327</v>
      </c>
      <c r="E323" t="str">
        <f t="shared" si="5"/>
        <v>OK</v>
      </c>
    </row>
    <row r="324" spans="1:5" x14ac:dyDescent="0.2">
      <c r="A324" s="4">
        <v>20882</v>
      </c>
      <c r="B324" s="5" t="s">
        <v>281</v>
      </c>
      <c r="D324" t="s">
        <v>410</v>
      </c>
      <c r="E324" t="str">
        <f t="shared" si="5"/>
        <v>OK</v>
      </c>
    </row>
    <row r="325" spans="1:5" x14ac:dyDescent="0.2">
      <c r="A325" s="4">
        <v>20883</v>
      </c>
      <c r="B325" s="5" t="s">
        <v>283</v>
      </c>
      <c r="D325" t="s">
        <v>327</v>
      </c>
      <c r="E325" t="str">
        <f t="shared" si="5"/>
        <v>OK</v>
      </c>
    </row>
    <row r="326" spans="1:5" x14ac:dyDescent="0.2">
      <c r="A326" s="4">
        <v>20884</v>
      </c>
      <c r="B326" s="5" t="s">
        <v>287</v>
      </c>
      <c r="E326" t="str">
        <f t="shared" si="5"/>
        <v>OK</v>
      </c>
    </row>
    <row r="327" spans="1:5" x14ac:dyDescent="0.2">
      <c r="A327" s="2">
        <v>20885</v>
      </c>
      <c r="B327" t="s">
        <v>119</v>
      </c>
      <c r="E327" t="str">
        <f t="shared" si="5"/>
        <v>OK</v>
      </c>
    </row>
    <row r="328" spans="1:5" x14ac:dyDescent="0.2">
      <c r="A328" s="2">
        <v>20886</v>
      </c>
      <c r="B328" t="s">
        <v>289</v>
      </c>
      <c r="E328" t="str">
        <f t="shared" si="5"/>
        <v>OK</v>
      </c>
    </row>
    <row r="329" spans="1:5" x14ac:dyDescent="0.2">
      <c r="A329" s="2">
        <v>20887</v>
      </c>
      <c r="B329" t="s">
        <v>290</v>
      </c>
      <c r="C329" s="5" t="s">
        <v>387</v>
      </c>
      <c r="E329" t="str">
        <f t="shared" si="5"/>
        <v>OK</v>
      </c>
    </row>
    <row r="330" spans="1:5" x14ac:dyDescent="0.2">
      <c r="A330" s="2">
        <v>20888</v>
      </c>
      <c r="B330" t="s">
        <v>291</v>
      </c>
      <c r="D330" t="s">
        <v>420</v>
      </c>
      <c r="E330" t="str">
        <f t="shared" si="5"/>
        <v>OK</v>
      </c>
    </row>
    <row r="331" spans="1:5" x14ac:dyDescent="0.2">
      <c r="A331" s="2">
        <v>20889</v>
      </c>
      <c r="B331" t="s">
        <v>292</v>
      </c>
      <c r="E331" t="str">
        <f t="shared" si="5"/>
        <v>OK</v>
      </c>
    </row>
    <row r="332" spans="1:5" x14ac:dyDescent="0.2">
      <c r="A332" s="2">
        <v>20890</v>
      </c>
      <c r="B332" t="s">
        <v>330</v>
      </c>
      <c r="E332" t="str">
        <f t="shared" si="5"/>
        <v>OK</v>
      </c>
    </row>
    <row r="333" spans="1:5" x14ac:dyDescent="0.2">
      <c r="A333" s="2">
        <v>20891</v>
      </c>
      <c r="B333" t="s">
        <v>294</v>
      </c>
      <c r="E333" t="str">
        <f t="shared" si="5"/>
        <v>OK</v>
      </c>
    </row>
    <row r="334" spans="1:5" x14ac:dyDescent="0.2">
      <c r="A334" s="2">
        <v>20892</v>
      </c>
      <c r="B334" t="s">
        <v>295</v>
      </c>
      <c r="E334" t="str">
        <f t="shared" si="5"/>
        <v>OK</v>
      </c>
    </row>
    <row r="335" spans="1:5" x14ac:dyDescent="0.2">
      <c r="A335" s="2">
        <v>20893</v>
      </c>
      <c r="B335" t="s">
        <v>331</v>
      </c>
      <c r="E335" t="str">
        <f t="shared" si="5"/>
        <v>OK</v>
      </c>
    </row>
    <row r="336" spans="1:5" x14ac:dyDescent="0.2">
      <c r="A336" s="2">
        <v>20894</v>
      </c>
      <c r="B336" t="s">
        <v>296</v>
      </c>
      <c r="E336" t="str">
        <f t="shared" si="5"/>
        <v>OK</v>
      </c>
    </row>
    <row r="337" spans="1:5" x14ac:dyDescent="0.2">
      <c r="A337" s="2">
        <v>20895</v>
      </c>
      <c r="B337" t="s">
        <v>297</v>
      </c>
      <c r="C337" s="5" t="s">
        <v>387</v>
      </c>
      <c r="E337" t="str">
        <f t="shared" si="5"/>
        <v>OK</v>
      </c>
    </row>
    <row r="338" spans="1:5" x14ac:dyDescent="0.2">
      <c r="A338" s="2">
        <v>20896</v>
      </c>
      <c r="B338" t="s">
        <v>298</v>
      </c>
      <c r="C338" s="1"/>
      <c r="E338" t="str">
        <f t="shared" si="5"/>
        <v>OK</v>
      </c>
    </row>
    <row r="339" spans="1:5" x14ac:dyDescent="0.2">
      <c r="A339" s="2">
        <v>20897</v>
      </c>
      <c r="B339" t="s">
        <v>299</v>
      </c>
      <c r="E339" t="str">
        <f t="shared" si="5"/>
        <v>OK</v>
      </c>
    </row>
    <row r="340" spans="1:5" x14ac:dyDescent="0.2">
      <c r="A340" s="2">
        <v>20898</v>
      </c>
      <c r="B340" t="s">
        <v>300</v>
      </c>
      <c r="D340" t="s">
        <v>327</v>
      </c>
      <c r="E340" t="str">
        <f t="shared" si="5"/>
        <v>OK</v>
      </c>
    </row>
    <row r="341" spans="1:5" x14ac:dyDescent="0.2">
      <c r="A341" s="4">
        <v>20899</v>
      </c>
      <c r="B341" s="5" t="s">
        <v>301</v>
      </c>
      <c r="E341" t="str">
        <f t="shared" si="5"/>
        <v>OK</v>
      </c>
    </row>
    <row r="342" spans="1:5" x14ac:dyDescent="0.2">
      <c r="A342" s="4">
        <v>20900</v>
      </c>
      <c r="B342" s="5" t="s">
        <v>302</v>
      </c>
      <c r="E342" t="str">
        <f t="shared" si="5"/>
        <v>OK</v>
      </c>
    </row>
    <row r="343" spans="1:5" x14ac:dyDescent="0.2">
      <c r="A343" s="4">
        <v>20901</v>
      </c>
      <c r="B343" s="5" t="s">
        <v>320</v>
      </c>
      <c r="C343" s="5"/>
      <c r="D343" t="s">
        <v>327</v>
      </c>
      <c r="E343" t="str">
        <f t="shared" si="5"/>
        <v>OK</v>
      </c>
    </row>
    <row r="344" spans="1:5" x14ac:dyDescent="0.2">
      <c r="A344" s="2">
        <v>20902</v>
      </c>
      <c r="B344" t="s">
        <v>303</v>
      </c>
      <c r="E344" t="str">
        <f t="shared" si="5"/>
        <v>OK</v>
      </c>
    </row>
    <row r="345" spans="1:5" x14ac:dyDescent="0.2">
      <c r="A345" s="2">
        <v>20903</v>
      </c>
      <c r="B345" t="s">
        <v>304</v>
      </c>
      <c r="E345" t="str">
        <f t="shared" si="5"/>
        <v>OK</v>
      </c>
    </row>
    <row r="346" spans="1:5" x14ac:dyDescent="0.2">
      <c r="A346" s="2">
        <v>20904</v>
      </c>
      <c r="B346" t="s">
        <v>305</v>
      </c>
      <c r="E346" t="str">
        <f t="shared" si="5"/>
        <v>OK</v>
      </c>
    </row>
    <row r="347" spans="1:5" x14ac:dyDescent="0.2">
      <c r="A347" s="2">
        <v>20905</v>
      </c>
      <c r="B347" t="s">
        <v>306</v>
      </c>
      <c r="E347" t="str">
        <f t="shared" si="5"/>
        <v>OK</v>
      </c>
    </row>
    <row r="348" spans="1:5" x14ac:dyDescent="0.2">
      <c r="A348" s="2">
        <v>20906</v>
      </c>
      <c r="B348" t="s">
        <v>307</v>
      </c>
      <c r="E348" t="str">
        <f t="shared" si="5"/>
        <v>OK</v>
      </c>
    </row>
    <row r="349" spans="1:5" x14ac:dyDescent="0.2">
      <c r="A349" s="4">
        <v>20907</v>
      </c>
      <c r="B349" s="5" t="s">
        <v>308</v>
      </c>
      <c r="E349" t="str">
        <f t="shared" si="5"/>
        <v>OK</v>
      </c>
    </row>
    <row r="350" spans="1:5" x14ac:dyDescent="0.2">
      <c r="A350" s="2">
        <v>20908</v>
      </c>
      <c r="B350" t="s">
        <v>309</v>
      </c>
      <c r="D350" t="s">
        <v>410</v>
      </c>
      <c r="E350" t="str">
        <f t="shared" si="5"/>
        <v>OK</v>
      </c>
    </row>
    <row r="351" spans="1:5" x14ac:dyDescent="0.2">
      <c r="A351" s="2">
        <v>20909</v>
      </c>
      <c r="B351" t="s">
        <v>310</v>
      </c>
      <c r="C351" s="5" t="s">
        <v>387</v>
      </c>
      <c r="E351" t="str">
        <f t="shared" si="5"/>
        <v>OK</v>
      </c>
    </row>
    <row r="352" spans="1:5" x14ac:dyDescent="0.2">
      <c r="A352" s="4">
        <v>20910</v>
      </c>
      <c r="B352" s="5" t="s">
        <v>452</v>
      </c>
      <c r="D352" s="5" t="s">
        <v>453</v>
      </c>
      <c r="E352" t="str">
        <f t="shared" si="5"/>
        <v>OK</v>
      </c>
    </row>
    <row r="353" spans="1:5" x14ac:dyDescent="0.2">
      <c r="A353" s="2">
        <v>20911</v>
      </c>
      <c r="B353" t="s">
        <v>318</v>
      </c>
      <c r="E353" t="str">
        <f t="shared" si="5"/>
        <v>OK</v>
      </c>
    </row>
    <row r="354" spans="1:5" x14ac:dyDescent="0.2">
      <c r="A354" s="2">
        <v>20912</v>
      </c>
      <c r="B354" t="s">
        <v>311</v>
      </c>
      <c r="D354" t="s">
        <v>410</v>
      </c>
      <c r="E354" t="str">
        <f t="shared" si="5"/>
        <v>OK</v>
      </c>
    </row>
    <row r="355" spans="1:5" x14ac:dyDescent="0.2">
      <c r="A355" s="4">
        <v>20913</v>
      </c>
      <c r="B355" t="s">
        <v>315</v>
      </c>
      <c r="E355" t="str">
        <f t="shared" si="5"/>
        <v>OK</v>
      </c>
    </row>
    <row r="356" spans="1:5" x14ac:dyDescent="0.2">
      <c r="A356" s="2">
        <v>20914</v>
      </c>
      <c r="B356" s="5" t="s">
        <v>314</v>
      </c>
      <c r="E356" t="str">
        <f t="shared" si="5"/>
        <v>OK</v>
      </c>
    </row>
    <row r="357" spans="1:5" x14ac:dyDescent="0.2">
      <c r="A357" s="2">
        <v>20915</v>
      </c>
      <c r="B357" t="s">
        <v>312</v>
      </c>
      <c r="E357" t="str">
        <f t="shared" si="5"/>
        <v>OK</v>
      </c>
    </row>
    <row r="358" spans="1:5" x14ac:dyDescent="0.2">
      <c r="A358" s="4">
        <v>20916</v>
      </c>
      <c r="B358" t="s">
        <v>313</v>
      </c>
      <c r="E358" t="str">
        <f t="shared" si="5"/>
        <v>OK</v>
      </c>
    </row>
    <row r="359" spans="1:5" x14ac:dyDescent="0.2">
      <c r="A359" s="2">
        <v>20917</v>
      </c>
      <c r="B359" t="s">
        <v>316</v>
      </c>
      <c r="E359" t="str">
        <f t="shared" si="5"/>
        <v>OK</v>
      </c>
    </row>
    <row r="360" spans="1:5" x14ac:dyDescent="0.2">
      <c r="A360" s="2">
        <v>20918</v>
      </c>
      <c r="B360" t="s">
        <v>317</v>
      </c>
      <c r="E360" t="str">
        <f t="shared" si="5"/>
        <v>OK</v>
      </c>
    </row>
    <row r="361" spans="1:5" x14ac:dyDescent="0.2">
      <c r="A361" s="4">
        <v>20919</v>
      </c>
      <c r="B361" t="s">
        <v>319</v>
      </c>
      <c r="E361" t="str">
        <f t="shared" si="5"/>
        <v>OK</v>
      </c>
    </row>
    <row r="362" spans="1:5" x14ac:dyDescent="0.2">
      <c r="A362" s="2">
        <v>20920</v>
      </c>
      <c r="B362" t="s">
        <v>359</v>
      </c>
      <c r="E362" t="str">
        <f t="shared" si="5"/>
        <v>OK</v>
      </c>
    </row>
    <row r="363" spans="1:5" x14ac:dyDescent="0.2">
      <c r="A363" s="2">
        <v>20921</v>
      </c>
      <c r="B363" t="s">
        <v>165</v>
      </c>
      <c r="E363" t="str">
        <f t="shared" si="5"/>
        <v>OK</v>
      </c>
    </row>
    <row r="364" spans="1:5" x14ac:dyDescent="0.2">
      <c r="A364" s="4">
        <v>20922</v>
      </c>
      <c r="B364" s="6" t="s">
        <v>322</v>
      </c>
      <c r="C364" t="s">
        <v>388</v>
      </c>
      <c r="E364" t="str">
        <f t="shared" si="5"/>
        <v>OK</v>
      </c>
    </row>
    <row r="365" spans="1:5" x14ac:dyDescent="0.2">
      <c r="A365" s="2">
        <v>20923</v>
      </c>
      <c r="B365" t="s">
        <v>321</v>
      </c>
      <c r="E365" t="str">
        <f t="shared" si="5"/>
        <v>OK</v>
      </c>
    </row>
    <row r="366" spans="1:5" x14ac:dyDescent="0.2">
      <c r="A366" s="2">
        <v>20924</v>
      </c>
      <c r="B366" t="s">
        <v>323</v>
      </c>
      <c r="E366" t="str">
        <f t="shared" si="5"/>
        <v>OK</v>
      </c>
    </row>
    <row r="367" spans="1:5" x14ac:dyDescent="0.2">
      <c r="A367" s="4">
        <v>20925</v>
      </c>
      <c r="B367" t="s">
        <v>324</v>
      </c>
      <c r="D367" t="s">
        <v>410</v>
      </c>
      <c r="E367" t="str">
        <f t="shared" si="5"/>
        <v>OK</v>
      </c>
    </row>
    <row r="368" spans="1:5" x14ac:dyDescent="0.2">
      <c r="A368" s="2">
        <v>20926</v>
      </c>
      <c r="B368" t="s">
        <v>325</v>
      </c>
      <c r="E368" t="str">
        <f t="shared" si="5"/>
        <v>OK</v>
      </c>
    </row>
    <row r="369" spans="1:5" x14ac:dyDescent="0.2">
      <c r="A369" s="2">
        <v>20927</v>
      </c>
      <c r="B369" s="12" t="s">
        <v>332</v>
      </c>
      <c r="C369" t="s">
        <v>327</v>
      </c>
      <c r="D369" s="5" t="s">
        <v>450</v>
      </c>
      <c r="E369" t="str">
        <f t="shared" si="5"/>
        <v>OK</v>
      </c>
    </row>
    <row r="370" spans="1:5" x14ac:dyDescent="0.2">
      <c r="A370" s="4">
        <v>20928</v>
      </c>
      <c r="B370" t="s">
        <v>334</v>
      </c>
      <c r="D370" t="s">
        <v>410</v>
      </c>
      <c r="E370" t="str">
        <f t="shared" si="5"/>
        <v>OK</v>
      </c>
    </row>
    <row r="371" spans="1:5" x14ac:dyDescent="0.2">
      <c r="A371" s="2">
        <v>20929</v>
      </c>
      <c r="B371" s="5" t="s">
        <v>335</v>
      </c>
      <c r="E371" t="str">
        <f t="shared" si="5"/>
        <v>OK</v>
      </c>
    </row>
    <row r="372" spans="1:5" x14ac:dyDescent="0.2">
      <c r="A372" s="2">
        <v>20930</v>
      </c>
      <c r="B372" s="5" t="s">
        <v>336</v>
      </c>
      <c r="E372" t="str">
        <f t="shared" si="5"/>
        <v>OK</v>
      </c>
    </row>
    <row r="373" spans="1:5" x14ac:dyDescent="0.2">
      <c r="A373" s="4">
        <v>20931</v>
      </c>
      <c r="B373" t="s">
        <v>337</v>
      </c>
      <c r="C373" t="s">
        <v>389</v>
      </c>
      <c r="D373" t="s">
        <v>420</v>
      </c>
      <c r="E373" t="str">
        <f t="shared" si="5"/>
        <v>OK</v>
      </c>
    </row>
    <row r="374" spans="1:5" x14ac:dyDescent="0.2">
      <c r="A374" s="2">
        <v>20932</v>
      </c>
      <c r="B374" s="5" t="s">
        <v>338</v>
      </c>
      <c r="C374" s="5" t="s">
        <v>454</v>
      </c>
      <c r="E374" t="str">
        <f t="shared" si="5"/>
        <v>OK</v>
      </c>
    </row>
    <row r="375" spans="1:5" x14ac:dyDescent="0.2">
      <c r="A375" s="2">
        <v>20933</v>
      </c>
      <c r="B375" t="s">
        <v>339</v>
      </c>
      <c r="E375" t="str">
        <f t="shared" si="5"/>
        <v>OK</v>
      </c>
    </row>
    <row r="376" spans="1:5" x14ac:dyDescent="0.2">
      <c r="A376" s="4">
        <v>20934</v>
      </c>
      <c r="B376" t="s">
        <v>340</v>
      </c>
      <c r="E376" t="str">
        <f t="shared" si="5"/>
        <v>OK</v>
      </c>
    </row>
    <row r="377" spans="1:5" x14ac:dyDescent="0.2">
      <c r="A377" s="2">
        <v>20935</v>
      </c>
      <c r="B377" t="s">
        <v>341</v>
      </c>
      <c r="E377" t="str">
        <f t="shared" si="5"/>
        <v>OK</v>
      </c>
    </row>
    <row r="378" spans="1:5" x14ac:dyDescent="0.2">
      <c r="A378" s="2">
        <v>20936</v>
      </c>
      <c r="B378" t="s">
        <v>343</v>
      </c>
      <c r="E378" t="str">
        <f t="shared" si="5"/>
        <v>OK</v>
      </c>
    </row>
    <row r="379" spans="1:5" x14ac:dyDescent="0.2">
      <c r="A379" s="4">
        <v>20937</v>
      </c>
      <c r="B379" t="s">
        <v>344</v>
      </c>
      <c r="E379" t="str">
        <f t="shared" si="5"/>
        <v>OK</v>
      </c>
    </row>
    <row r="380" spans="1:5" x14ac:dyDescent="0.2">
      <c r="A380" s="2">
        <v>20938</v>
      </c>
      <c r="B380" t="s">
        <v>475</v>
      </c>
      <c r="C380" t="s">
        <v>474</v>
      </c>
      <c r="E380" t="str">
        <f t="shared" si="5"/>
        <v>OK</v>
      </c>
    </row>
    <row r="381" spans="1:5" x14ac:dyDescent="0.2">
      <c r="A381" s="2">
        <v>20939</v>
      </c>
      <c r="B381" t="s">
        <v>345</v>
      </c>
      <c r="E381" t="str">
        <f t="shared" si="5"/>
        <v>OK</v>
      </c>
    </row>
    <row r="382" spans="1:5" x14ac:dyDescent="0.2">
      <c r="A382" s="4">
        <v>20940</v>
      </c>
      <c r="B382" t="s">
        <v>349</v>
      </c>
      <c r="E382" t="str">
        <f t="shared" si="5"/>
        <v>OK</v>
      </c>
    </row>
    <row r="383" spans="1:5" x14ac:dyDescent="0.2">
      <c r="A383" s="2">
        <v>20941</v>
      </c>
      <c r="B383" t="s">
        <v>350</v>
      </c>
      <c r="E383" t="str">
        <f t="shared" si="5"/>
        <v>OK</v>
      </c>
    </row>
    <row r="384" spans="1:5" x14ac:dyDescent="0.2">
      <c r="A384" s="2">
        <v>20942</v>
      </c>
      <c r="B384" t="s">
        <v>352</v>
      </c>
      <c r="D384" t="s">
        <v>420</v>
      </c>
      <c r="E384" t="str">
        <f t="shared" si="5"/>
        <v>OK</v>
      </c>
    </row>
    <row r="385" spans="1:5" x14ac:dyDescent="0.2">
      <c r="A385" s="4">
        <v>20943</v>
      </c>
      <c r="B385" t="s">
        <v>351</v>
      </c>
      <c r="C385" t="s">
        <v>387</v>
      </c>
      <c r="E385" t="str">
        <f t="shared" si="5"/>
        <v>OK</v>
      </c>
    </row>
    <row r="386" spans="1:5" x14ac:dyDescent="0.2">
      <c r="A386" s="2">
        <v>20944</v>
      </c>
      <c r="B386" t="s">
        <v>353</v>
      </c>
      <c r="C386" t="s">
        <v>387</v>
      </c>
      <c r="E386" t="str">
        <f t="shared" ref="E386:E449" si="6">IF(COUNTIF($A:$A,A386)&gt;1,"DOPPELT","OK")</f>
        <v>OK</v>
      </c>
    </row>
    <row r="387" spans="1:5" x14ac:dyDescent="0.2">
      <c r="A387" s="2">
        <v>20945</v>
      </c>
      <c r="B387" t="s">
        <v>354</v>
      </c>
      <c r="D387" t="s">
        <v>420</v>
      </c>
      <c r="E387" t="str">
        <f t="shared" si="6"/>
        <v>OK</v>
      </c>
    </row>
    <row r="388" spans="1:5" x14ac:dyDescent="0.2">
      <c r="A388" s="4">
        <v>20946</v>
      </c>
      <c r="B388" t="s">
        <v>355</v>
      </c>
      <c r="D388" t="s">
        <v>420</v>
      </c>
      <c r="E388" t="str">
        <f t="shared" si="6"/>
        <v>OK</v>
      </c>
    </row>
    <row r="389" spans="1:5" x14ac:dyDescent="0.2">
      <c r="A389" s="2">
        <v>20947</v>
      </c>
      <c r="B389" t="s">
        <v>356</v>
      </c>
      <c r="E389" t="str">
        <f t="shared" si="6"/>
        <v>OK</v>
      </c>
    </row>
    <row r="390" spans="1:5" x14ac:dyDescent="0.2">
      <c r="A390" s="2">
        <v>20948</v>
      </c>
      <c r="B390" t="s">
        <v>357</v>
      </c>
      <c r="E390" t="str">
        <f t="shared" si="6"/>
        <v>OK</v>
      </c>
    </row>
    <row r="391" spans="1:5" x14ac:dyDescent="0.2">
      <c r="A391" s="4">
        <v>20949</v>
      </c>
      <c r="B391" t="s">
        <v>358</v>
      </c>
      <c r="E391" t="str">
        <f t="shared" si="6"/>
        <v>OK</v>
      </c>
    </row>
    <row r="392" spans="1:5" x14ac:dyDescent="0.2">
      <c r="A392" s="2">
        <v>20950</v>
      </c>
      <c r="B392" t="s">
        <v>360</v>
      </c>
      <c r="E392" t="str">
        <f t="shared" si="6"/>
        <v>OK</v>
      </c>
    </row>
    <row r="393" spans="1:5" x14ac:dyDescent="0.2">
      <c r="A393" s="2">
        <v>20951</v>
      </c>
      <c r="B393" t="s">
        <v>361</v>
      </c>
      <c r="D393" t="s">
        <v>327</v>
      </c>
      <c r="E393" t="str">
        <f t="shared" si="6"/>
        <v>OK</v>
      </c>
    </row>
    <row r="394" spans="1:5" x14ac:dyDescent="0.2">
      <c r="A394" s="2">
        <v>20952</v>
      </c>
      <c r="B394" t="s">
        <v>362</v>
      </c>
      <c r="E394" t="str">
        <f t="shared" si="6"/>
        <v>OK</v>
      </c>
    </row>
    <row r="395" spans="1:5" x14ac:dyDescent="0.2">
      <c r="A395" s="2">
        <v>20953</v>
      </c>
      <c r="B395" t="s">
        <v>363</v>
      </c>
      <c r="E395" t="str">
        <f t="shared" si="6"/>
        <v>OK</v>
      </c>
    </row>
    <row r="396" spans="1:5" x14ac:dyDescent="0.2">
      <c r="A396" s="2">
        <v>20954</v>
      </c>
      <c r="B396" t="s">
        <v>364</v>
      </c>
      <c r="E396" t="str">
        <f t="shared" si="6"/>
        <v>OK</v>
      </c>
    </row>
    <row r="397" spans="1:5" x14ac:dyDescent="0.2">
      <c r="A397" s="2">
        <v>20955</v>
      </c>
      <c r="B397" t="s">
        <v>365</v>
      </c>
      <c r="E397" t="str">
        <f t="shared" si="6"/>
        <v>OK</v>
      </c>
    </row>
    <row r="398" spans="1:5" x14ac:dyDescent="0.2">
      <c r="A398" s="2">
        <v>20956</v>
      </c>
      <c r="B398" t="s">
        <v>366</v>
      </c>
      <c r="E398" t="str">
        <f t="shared" si="6"/>
        <v>OK</v>
      </c>
    </row>
    <row r="399" spans="1:5" x14ac:dyDescent="0.2">
      <c r="A399" s="2">
        <v>20957</v>
      </c>
      <c r="B399" t="s">
        <v>367</v>
      </c>
      <c r="E399" t="str">
        <f t="shared" si="6"/>
        <v>OK</v>
      </c>
    </row>
    <row r="400" spans="1:5" x14ac:dyDescent="0.2">
      <c r="A400" s="2">
        <v>20958</v>
      </c>
      <c r="B400" t="s">
        <v>368</v>
      </c>
      <c r="E400" t="str">
        <f t="shared" si="6"/>
        <v>OK</v>
      </c>
    </row>
    <row r="401" spans="1:5" x14ac:dyDescent="0.2">
      <c r="A401" s="2">
        <v>20959</v>
      </c>
      <c r="B401" t="s">
        <v>370</v>
      </c>
      <c r="E401" t="str">
        <f t="shared" si="6"/>
        <v>OK</v>
      </c>
    </row>
    <row r="402" spans="1:5" x14ac:dyDescent="0.2">
      <c r="A402" s="2">
        <v>20960</v>
      </c>
      <c r="B402" t="s">
        <v>369</v>
      </c>
      <c r="E402" t="str">
        <f t="shared" si="6"/>
        <v>OK</v>
      </c>
    </row>
    <row r="403" spans="1:5" x14ac:dyDescent="0.2">
      <c r="A403" s="2">
        <v>20961</v>
      </c>
      <c r="B403" t="s">
        <v>430</v>
      </c>
      <c r="E403" t="str">
        <f t="shared" si="6"/>
        <v>OK</v>
      </c>
    </row>
    <row r="404" spans="1:5" x14ac:dyDescent="0.2">
      <c r="A404" s="2">
        <v>20962</v>
      </c>
      <c r="B404" t="s">
        <v>371</v>
      </c>
      <c r="C404" t="s">
        <v>464</v>
      </c>
      <c r="E404" t="str">
        <f t="shared" si="6"/>
        <v>OK</v>
      </c>
    </row>
    <row r="405" spans="1:5" x14ac:dyDescent="0.2">
      <c r="A405" s="2">
        <v>20963</v>
      </c>
      <c r="B405" t="s">
        <v>372</v>
      </c>
      <c r="E405" t="str">
        <f t="shared" si="6"/>
        <v>OK</v>
      </c>
    </row>
    <row r="406" spans="1:5" x14ac:dyDescent="0.2">
      <c r="A406" s="2">
        <v>20964</v>
      </c>
      <c r="B406" t="s">
        <v>373</v>
      </c>
      <c r="E406" t="str">
        <f t="shared" si="6"/>
        <v>OK</v>
      </c>
    </row>
    <row r="407" spans="1:5" x14ac:dyDescent="0.2">
      <c r="A407" s="2">
        <v>20965</v>
      </c>
      <c r="B407" s="5" t="s">
        <v>377</v>
      </c>
      <c r="E407" t="str">
        <f t="shared" si="6"/>
        <v>OK</v>
      </c>
    </row>
    <row r="408" spans="1:5" x14ac:dyDescent="0.2">
      <c r="A408" s="2">
        <v>20966</v>
      </c>
      <c r="B408" t="s">
        <v>378</v>
      </c>
      <c r="E408" t="str">
        <f t="shared" si="6"/>
        <v>OK</v>
      </c>
    </row>
    <row r="409" spans="1:5" x14ac:dyDescent="0.2">
      <c r="A409" s="2">
        <v>20967</v>
      </c>
      <c r="B409" t="s">
        <v>379</v>
      </c>
      <c r="E409" t="str">
        <f t="shared" si="6"/>
        <v>OK</v>
      </c>
    </row>
    <row r="410" spans="1:5" x14ac:dyDescent="0.2">
      <c r="A410" s="2">
        <v>20968</v>
      </c>
      <c r="B410" t="s">
        <v>380</v>
      </c>
      <c r="E410" t="str">
        <f t="shared" si="6"/>
        <v>OK</v>
      </c>
    </row>
    <row r="411" spans="1:5" x14ac:dyDescent="0.2">
      <c r="A411" s="2">
        <v>20969</v>
      </c>
      <c r="B411" t="s">
        <v>381</v>
      </c>
      <c r="E411" t="str">
        <f t="shared" si="6"/>
        <v>OK</v>
      </c>
    </row>
    <row r="412" spans="1:5" x14ac:dyDescent="0.2">
      <c r="A412" s="2">
        <v>20970</v>
      </c>
      <c r="B412" t="s">
        <v>382</v>
      </c>
      <c r="E412" t="str">
        <f t="shared" si="6"/>
        <v>OK</v>
      </c>
    </row>
    <row r="413" spans="1:5" x14ac:dyDescent="0.2">
      <c r="A413" s="2">
        <v>20971</v>
      </c>
      <c r="B413" t="s">
        <v>383</v>
      </c>
      <c r="E413" t="str">
        <f t="shared" si="6"/>
        <v>OK</v>
      </c>
    </row>
    <row r="414" spans="1:5" x14ac:dyDescent="0.2">
      <c r="A414" s="2">
        <v>20972</v>
      </c>
      <c r="B414" t="s">
        <v>384</v>
      </c>
      <c r="E414" t="str">
        <f t="shared" si="6"/>
        <v>OK</v>
      </c>
    </row>
    <row r="415" spans="1:5" x14ac:dyDescent="0.2">
      <c r="A415" s="2">
        <v>20973</v>
      </c>
      <c r="B415" t="s">
        <v>385</v>
      </c>
      <c r="E415" t="str">
        <f t="shared" si="6"/>
        <v>OK</v>
      </c>
    </row>
    <row r="416" spans="1:5" x14ac:dyDescent="0.2">
      <c r="A416" s="2">
        <v>20974</v>
      </c>
      <c r="B416" s="5" t="s">
        <v>390</v>
      </c>
      <c r="E416" t="str">
        <f t="shared" si="6"/>
        <v>OK</v>
      </c>
    </row>
    <row r="417" spans="1:5" x14ac:dyDescent="0.2">
      <c r="A417" s="2">
        <v>20975</v>
      </c>
      <c r="B417" s="5" t="s">
        <v>455</v>
      </c>
      <c r="E417" t="str">
        <f t="shared" si="6"/>
        <v>OK</v>
      </c>
    </row>
    <row r="418" spans="1:5" x14ac:dyDescent="0.2">
      <c r="A418" s="2">
        <v>20976</v>
      </c>
      <c r="B418" s="16" t="s">
        <v>391</v>
      </c>
      <c r="D418" t="s">
        <v>410</v>
      </c>
      <c r="E418" t="str">
        <f t="shared" si="6"/>
        <v>OK</v>
      </c>
    </row>
    <row r="419" spans="1:5" ht="13.5" thickBot="1" x14ac:dyDescent="0.25">
      <c r="A419" s="2">
        <v>20977</v>
      </c>
      <c r="B419" s="5" t="s">
        <v>393</v>
      </c>
      <c r="E419" t="str">
        <f t="shared" si="6"/>
        <v>OK</v>
      </c>
    </row>
    <row r="420" spans="1:5" ht="13.5" thickBot="1" x14ac:dyDescent="0.25">
      <c r="A420" s="2">
        <v>20978</v>
      </c>
      <c r="B420" s="17" t="s">
        <v>392</v>
      </c>
      <c r="E420" t="str">
        <f t="shared" si="6"/>
        <v>OK</v>
      </c>
    </row>
    <row r="421" spans="1:5" x14ac:dyDescent="0.2">
      <c r="A421" s="2">
        <v>20979</v>
      </c>
      <c r="B421" s="5" t="s">
        <v>394</v>
      </c>
      <c r="E421" t="str">
        <f t="shared" si="6"/>
        <v>OK</v>
      </c>
    </row>
    <row r="422" spans="1:5" x14ac:dyDescent="0.2">
      <c r="A422" s="2">
        <v>20980</v>
      </c>
      <c r="B422" s="5" t="s">
        <v>395</v>
      </c>
      <c r="E422" t="str">
        <f t="shared" si="6"/>
        <v>OK</v>
      </c>
    </row>
    <row r="423" spans="1:5" x14ac:dyDescent="0.2">
      <c r="A423" s="2">
        <v>20981</v>
      </c>
      <c r="B423" s="5" t="s">
        <v>396</v>
      </c>
      <c r="E423" t="str">
        <f t="shared" si="6"/>
        <v>OK</v>
      </c>
    </row>
    <row r="424" spans="1:5" x14ac:dyDescent="0.2">
      <c r="A424" s="2">
        <v>20982</v>
      </c>
      <c r="B424" s="5" t="s">
        <v>397</v>
      </c>
      <c r="E424" t="str">
        <f t="shared" si="6"/>
        <v>OK</v>
      </c>
    </row>
    <row r="425" spans="1:5" x14ac:dyDescent="0.2">
      <c r="A425" s="2">
        <v>20983</v>
      </c>
      <c r="B425" s="5" t="s">
        <v>399</v>
      </c>
      <c r="D425" s="5" t="s">
        <v>327</v>
      </c>
      <c r="E425" t="str">
        <f t="shared" si="6"/>
        <v>OK</v>
      </c>
    </row>
    <row r="426" spans="1:5" x14ac:dyDescent="0.2">
      <c r="A426" s="2">
        <v>20984</v>
      </c>
      <c r="B426" t="s">
        <v>428</v>
      </c>
      <c r="E426" t="str">
        <f t="shared" si="6"/>
        <v>OK</v>
      </c>
    </row>
    <row r="427" spans="1:5" x14ac:dyDescent="0.2">
      <c r="A427" s="2">
        <v>20985</v>
      </c>
      <c r="B427" t="s">
        <v>398</v>
      </c>
      <c r="D427" t="s">
        <v>327</v>
      </c>
      <c r="E427" t="str">
        <f t="shared" si="6"/>
        <v>OK</v>
      </c>
    </row>
    <row r="428" spans="1:5" x14ac:dyDescent="0.2">
      <c r="A428" s="2">
        <v>20986</v>
      </c>
      <c r="B428" t="s">
        <v>400</v>
      </c>
      <c r="E428" t="str">
        <f t="shared" si="6"/>
        <v>OK</v>
      </c>
    </row>
    <row r="429" spans="1:5" x14ac:dyDescent="0.2">
      <c r="A429" s="2">
        <v>20987</v>
      </c>
      <c r="B429" t="s">
        <v>404</v>
      </c>
      <c r="E429" t="str">
        <f t="shared" si="6"/>
        <v>OK</v>
      </c>
    </row>
    <row r="430" spans="1:5" x14ac:dyDescent="0.2">
      <c r="A430" s="2">
        <v>20988</v>
      </c>
      <c r="B430" t="s">
        <v>403</v>
      </c>
      <c r="D430" t="s">
        <v>327</v>
      </c>
      <c r="E430" t="str">
        <f t="shared" si="6"/>
        <v>OK</v>
      </c>
    </row>
    <row r="431" spans="1:5" x14ac:dyDescent="0.2">
      <c r="A431" s="2">
        <v>20989</v>
      </c>
      <c r="B431" t="s">
        <v>402</v>
      </c>
      <c r="D431" t="s">
        <v>327</v>
      </c>
      <c r="E431" t="str">
        <f t="shared" si="6"/>
        <v>OK</v>
      </c>
    </row>
    <row r="432" spans="1:5" x14ac:dyDescent="0.2">
      <c r="A432" s="2">
        <v>20990</v>
      </c>
      <c r="B432" t="s">
        <v>401</v>
      </c>
      <c r="E432" t="str">
        <f t="shared" si="6"/>
        <v>OK</v>
      </c>
    </row>
    <row r="433" spans="1:5" x14ac:dyDescent="0.2">
      <c r="A433" s="2">
        <v>20991</v>
      </c>
      <c r="B433" t="s">
        <v>405</v>
      </c>
      <c r="E433" t="str">
        <f t="shared" si="6"/>
        <v>OK</v>
      </c>
    </row>
    <row r="434" spans="1:5" x14ac:dyDescent="0.2">
      <c r="A434" s="2">
        <v>20992</v>
      </c>
      <c r="B434" t="s">
        <v>406</v>
      </c>
      <c r="E434" t="str">
        <f t="shared" si="6"/>
        <v>OK</v>
      </c>
    </row>
    <row r="435" spans="1:5" x14ac:dyDescent="0.2">
      <c r="A435" s="2">
        <v>20993</v>
      </c>
      <c r="B435" t="s">
        <v>418</v>
      </c>
      <c r="E435" t="str">
        <f t="shared" si="6"/>
        <v>OK</v>
      </c>
    </row>
    <row r="436" spans="1:5" x14ac:dyDescent="0.2">
      <c r="A436" s="2">
        <v>20994</v>
      </c>
      <c r="B436" t="s">
        <v>417</v>
      </c>
      <c r="E436" t="str">
        <f t="shared" si="6"/>
        <v>OK</v>
      </c>
    </row>
    <row r="437" spans="1:5" x14ac:dyDescent="0.2">
      <c r="A437" s="2">
        <v>20995</v>
      </c>
      <c r="B437" s="5" t="s">
        <v>423</v>
      </c>
      <c r="E437" t="str">
        <f t="shared" si="6"/>
        <v>OK</v>
      </c>
    </row>
    <row r="438" spans="1:5" x14ac:dyDescent="0.2">
      <c r="A438" s="2">
        <v>20996</v>
      </c>
      <c r="B438" s="5" t="s">
        <v>424</v>
      </c>
      <c r="E438" t="str">
        <f t="shared" si="6"/>
        <v>OK</v>
      </c>
    </row>
    <row r="439" spans="1:5" x14ac:dyDescent="0.2">
      <c r="A439" s="2">
        <v>20997</v>
      </c>
      <c r="B439" s="5" t="s">
        <v>426</v>
      </c>
      <c r="E439" t="str">
        <f t="shared" si="6"/>
        <v>OK</v>
      </c>
    </row>
    <row r="440" spans="1:5" x14ac:dyDescent="0.2">
      <c r="A440" s="2">
        <v>20998</v>
      </c>
      <c r="B440" t="s">
        <v>429</v>
      </c>
      <c r="E440" t="str">
        <f t="shared" si="6"/>
        <v>OK</v>
      </c>
    </row>
    <row r="441" spans="1:5" x14ac:dyDescent="0.2">
      <c r="A441" s="2">
        <v>20999</v>
      </c>
      <c r="B441" s="5" t="s">
        <v>427</v>
      </c>
      <c r="E441" t="str">
        <f t="shared" si="6"/>
        <v>OK</v>
      </c>
    </row>
    <row r="442" spans="1:5" x14ac:dyDescent="0.2">
      <c r="A442" s="2">
        <v>21000</v>
      </c>
      <c r="B442" s="5" t="s">
        <v>432</v>
      </c>
      <c r="E442" t="str">
        <f t="shared" si="6"/>
        <v>OK</v>
      </c>
    </row>
    <row r="443" spans="1:5" x14ac:dyDescent="0.2">
      <c r="A443" s="2">
        <v>21001</v>
      </c>
      <c r="B443" s="5" t="s">
        <v>431</v>
      </c>
      <c r="E443" t="str">
        <f t="shared" si="6"/>
        <v>OK</v>
      </c>
    </row>
    <row r="444" spans="1:5" x14ac:dyDescent="0.2">
      <c r="A444" s="2">
        <v>21002</v>
      </c>
      <c r="B444" s="5" t="s">
        <v>435</v>
      </c>
      <c r="E444" t="str">
        <f t="shared" si="6"/>
        <v>OK</v>
      </c>
    </row>
    <row r="445" spans="1:5" x14ac:dyDescent="0.2">
      <c r="A445" s="2">
        <v>21003</v>
      </c>
      <c r="B445" t="s">
        <v>434</v>
      </c>
      <c r="C445" t="s">
        <v>387</v>
      </c>
      <c r="E445" t="str">
        <f t="shared" si="6"/>
        <v>OK</v>
      </c>
    </row>
    <row r="446" spans="1:5" x14ac:dyDescent="0.2">
      <c r="A446" s="2">
        <v>21004</v>
      </c>
      <c r="B446" s="5" t="s">
        <v>437</v>
      </c>
      <c r="E446" t="str">
        <f t="shared" si="6"/>
        <v>OK</v>
      </c>
    </row>
    <row r="447" spans="1:5" x14ac:dyDescent="0.2">
      <c r="A447" s="2">
        <v>21005</v>
      </c>
      <c r="B447" s="5" t="s">
        <v>436</v>
      </c>
      <c r="C447" t="s">
        <v>327</v>
      </c>
      <c r="E447" t="str">
        <f t="shared" si="6"/>
        <v>OK</v>
      </c>
    </row>
    <row r="448" spans="1:5" x14ac:dyDescent="0.2">
      <c r="A448" s="2">
        <v>21006</v>
      </c>
      <c r="B448" s="5" t="s">
        <v>438</v>
      </c>
      <c r="C448" t="s">
        <v>327</v>
      </c>
      <c r="E448" t="str">
        <f t="shared" si="6"/>
        <v>OK</v>
      </c>
    </row>
    <row r="449" spans="1:5" x14ac:dyDescent="0.2">
      <c r="A449" s="2">
        <v>21007</v>
      </c>
      <c r="B449" s="11" t="s">
        <v>441</v>
      </c>
      <c r="C449" s="5" t="s">
        <v>470</v>
      </c>
      <c r="E449" t="str">
        <f t="shared" si="6"/>
        <v>OK</v>
      </c>
    </row>
    <row r="450" spans="1:5" ht="13.5" thickBot="1" x14ac:dyDescent="0.25">
      <c r="A450" s="2">
        <v>21008</v>
      </c>
      <c r="B450" s="11" t="s">
        <v>440</v>
      </c>
      <c r="C450" t="s">
        <v>327</v>
      </c>
      <c r="E450" t="str">
        <f t="shared" ref="E450:E475" si="7">IF(COUNTIF($A:$A,A450)&gt;1,"DOPPELT","OK")</f>
        <v>OK</v>
      </c>
    </row>
    <row r="451" spans="1:5" ht="13.5" thickBot="1" x14ac:dyDescent="0.25">
      <c r="A451" s="2">
        <v>21009</v>
      </c>
      <c r="B451" s="10" t="s">
        <v>439</v>
      </c>
      <c r="E451" t="str">
        <f t="shared" si="7"/>
        <v>OK</v>
      </c>
    </row>
    <row r="452" spans="1:5" ht="13.5" thickBot="1" x14ac:dyDescent="0.25">
      <c r="A452" s="2">
        <v>21010</v>
      </c>
      <c r="B452" s="18" t="s">
        <v>444</v>
      </c>
      <c r="E452" t="str">
        <f t="shared" si="7"/>
        <v>OK</v>
      </c>
    </row>
    <row r="453" spans="1:5" ht="13.5" thickBot="1" x14ac:dyDescent="0.25">
      <c r="A453" s="2">
        <v>21011</v>
      </c>
      <c r="B453" s="10" t="s">
        <v>442</v>
      </c>
      <c r="E453" t="str">
        <f t="shared" si="7"/>
        <v>OK</v>
      </c>
    </row>
    <row r="454" spans="1:5" x14ac:dyDescent="0.2">
      <c r="A454" s="2">
        <v>21012</v>
      </c>
      <c r="B454" s="11" t="s">
        <v>443</v>
      </c>
      <c r="E454" t="str">
        <f t="shared" si="7"/>
        <v>OK</v>
      </c>
    </row>
    <row r="455" spans="1:5" x14ac:dyDescent="0.2">
      <c r="A455" s="2">
        <v>21013</v>
      </c>
      <c r="B455" s="11" t="s">
        <v>451</v>
      </c>
      <c r="E455" t="str">
        <f t="shared" si="7"/>
        <v>OK</v>
      </c>
    </row>
    <row r="456" spans="1:5" x14ac:dyDescent="0.2">
      <c r="A456" s="2">
        <v>21014</v>
      </c>
      <c r="B456" s="5" t="s">
        <v>456</v>
      </c>
      <c r="E456" t="str">
        <f t="shared" si="7"/>
        <v>OK</v>
      </c>
    </row>
    <row r="457" spans="1:5" x14ac:dyDescent="0.2">
      <c r="A457" s="2">
        <v>21015</v>
      </c>
      <c r="B457" s="11" t="s">
        <v>457</v>
      </c>
      <c r="E457" t="str">
        <f t="shared" si="7"/>
        <v>OK</v>
      </c>
    </row>
    <row r="458" spans="1:5" x14ac:dyDescent="0.2">
      <c r="A458" s="2">
        <v>21016</v>
      </c>
      <c r="B458" s="5" t="s">
        <v>460</v>
      </c>
      <c r="E458" t="str">
        <f t="shared" si="7"/>
        <v>OK</v>
      </c>
    </row>
    <row r="459" spans="1:5" x14ac:dyDescent="0.2">
      <c r="A459" s="2">
        <v>21017</v>
      </c>
      <c r="B459" s="13" t="s">
        <v>458</v>
      </c>
      <c r="E459" t="str">
        <f t="shared" si="7"/>
        <v>OK</v>
      </c>
    </row>
    <row r="460" spans="1:5" ht="13.5" thickBot="1" x14ac:dyDescent="0.25">
      <c r="A460" s="2">
        <v>21018</v>
      </c>
      <c r="B460" s="13" t="s">
        <v>459</v>
      </c>
      <c r="E460" t="str">
        <f t="shared" si="7"/>
        <v>OK</v>
      </c>
    </row>
    <row r="461" spans="1:5" ht="13.5" thickBot="1" x14ac:dyDescent="0.25">
      <c r="A461" s="2">
        <v>21019</v>
      </c>
      <c r="B461" s="19" t="s">
        <v>462</v>
      </c>
      <c r="C461" t="s">
        <v>387</v>
      </c>
      <c r="E461" t="str">
        <f t="shared" si="7"/>
        <v>OK</v>
      </c>
    </row>
    <row r="462" spans="1:5" ht="13.5" thickBot="1" x14ac:dyDescent="0.25">
      <c r="A462" s="2">
        <v>21020</v>
      </c>
      <c r="B462" s="19" t="s">
        <v>461</v>
      </c>
      <c r="C462" t="s">
        <v>327</v>
      </c>
      <c r="E462" t="str">
        <f t="shared" si="7"/>
        <v>OK</v>
      </c>
    </row>
    <row r="463" spans="1:5" x14ac:dyDescent="0.2">
      <c r="A463" s="2">
        <v>21021</v>
      </c>
      <c r="B463" s="13" t="s">
        <v>463</v>
      </c>
      <c r="C463" t="s">
        <v>327</v>
      </c>
      <c r="E463" t="str">
        <f t="shared" si="7"/>
        <v>OK</v>
      </c>
    </row>
    <row r="464" spans="1:5" x14ac:dyDescent="0.2">
      <c r="A464" s="2">
        <v>21022</v>
      </c>
      <c r="B464" s="13" t="s">
        <v>465</v>
      </c>
      <c r="E464" t="str">
        <f t="shared" si="7"/>
        <v>OK</v>
      </c>
    </row>
    <row r="465" spans="1:5" x14ac:dyDescent="0.2">
      <c r="A465" s="2">
        <v>21023</v>
      </c>
      <c r="B465" s="13" t="s">
        <v>466</v>
      </c>
      <c r="E465" t="str">
        <f t="shared" si="7"/>
        <v>OK</v>
      </c>
    </row>
    <row r="466" spans="1:5" x14ac:dyDescent="0.2">
      <c r="A466" s="2">
        <v>21024</v>
      </c>
      <c r="B466" s="13" t="s">
        <v>467</v>
      </c>
      <c r="E466" t="str">
        <f t="shared" si="7"/>
        <v>OK</v>
      </c>
    </row>
    <row r="467" spans="1:5" x14ac:dyDescent="0.2">
      <c r="A467" s="2">
        <v>21025</v>
      </c>
      <c r="B467" s="14" t="s">
        <v>468</v>
      </c>
      <c r="E467" t="str">
        <f t="shared" si="7"/>
        <v>OK</v>
      </c>
    </row>
    <row r="468" spans="1:5" x14ac:dyDescent="0.2">
      <c r="A468" s="2">
        <v>21026</v>
      </c>
      <c r="B468" s="15" t="s">
        <v>469</v>
      </c>
      <c r="E468" t="str">
        <f t="shared" si="7"/>
        <v>OK</v>
      </c>
    </row>
    <row r="469" spans="1:5" x14ac:dyDescent="0.2">
      <c r="A469" s="2">
        <v>21027</v>
      </c>
      <c r="B469" t="s">
        <v>471</v>
      </c>
      <c r="E469" t="str">
        <f t="shared" si="7"/>
        <v>OK</v>
      </c>
    </row>
    <row r="470" spans="1:5" x14ac:dyDescent="0.2">
      <c r="A470" s="2">
        <v>21028</v>
      </c>
      <c r="B470" t="s">
        <v>472</v>
      </c>
      <c r="E470" t="str">
        <f t="shared" si="7"/>
        <v>OK</v>
      </c>
    </row>
    <row r="471" spans="1:5" x14ac:dyDescent="0.2">
      <c r="A471" s="2">
        <v>21029</v>
      </c>
      <c r="B471" t="s">
        <v>473</v>
      </c>
      <c r="E471" t="str">
        <f t="shared" si="7"/>
        <v>OK</v>
      </c>
    </row>
    <row r="472" spans="1:5" x14ac:dyDescent="0.2">
      <c r="A472" s="2">
        <v>21030</v>
      </c>
      <c r="B472" s="13" t="s">
        <v>477</v>
      </c>
      <c r="E472" t="str">
        <f t="shared" si="7"/>
        <v>OK</v>
      </c>
    </row>
    <row r="473" spans="1:5" ht="13.5" thickBot="1" x14ac:dyDescent="0.25">
      <c r="A473" s="2">
        <v>21031</v>
      </c>
      <c r="B473" t="s">
        <v>476</v>
      </c>
      <c r="E473" t="str">
        <f t="shared" si="7"/>
        <v>OK</v>
      </c>
    </row>
    <row r="474" spans="1:5" ht="13.5" thickBot="1" x14ac:dyDescent="0.25">
      <c r="A474" s="3">
        <v>205621</v>
      </c>
      <c r="B474" s="20" t="s">
        <v>185</v>
      </c>
      <c r="E474" t="str">
        <f t="shared" si="7"/>
        <v>OK</v>
      </c>
    </row>
    <row r="475" spans="1:5" x14ac:dyDescent="0.2">
      <c r="A475" s="2">
        <v>208091</v>
      </c>
      <c r="B475" t="s">
        <v>496</v>
      </c>
      <c r="E475" t="str">
        <f t="shared" si="7"/>
        <v>OK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DDCA1-1681-43F2-930C-E25CBBC31ED3}">
  <dimension ref="A1:O475"/>
  <sheetViews>
    <sheetView tabSelected="1" workbookViewId="0">
      <selection activeCell="P1" sqref="P1"/>
    </sheetView>
  </sheetViews>
  <sheetFormatPr baseColWidth="10" defaultRowHeight="12.75" x14ac:dyDescent="0.2"/>
  <cols>
    <col min="1" max="1" width="18.5703125" customWidth="1"/>
    <col min="2" max="2" width="37" bestFit="1" customWidth="1"/>
    <col min="3" max="3" width="17.5703125" bestFit="1" customWidth="1"/>
    <col min="4" max="4" width="11.7109375" customWidth="1"/>
    <col min="5" max="5" width="37" bestFit="1" customWidth="1"/>
    <col min="6" max="6" width="8.140625" customWidth="1"/>
    <col min="7" max="7" width="15.7109375" customWidth="1"/>
    <col min="8" max="8" width="10.5703125" customWidth="1"/>
    <col min="9" max="9" width="6.28515625" customWidth="1"/>
    <col min="10" max="10" width="7.42578125" customWidth="1"/>
    <col min="11" max="11" width="9.85546875" customWidth="1"/>
    <col min="12" max="12" width="16.140625" customWidth="1"/>
    <col min="13" max="13" width="16.7109375" customWidth="1"/>
    <col min="14" max="14" width="9.28515625" bestFit="1" customWidth="1"/>
    <col min="15" max="15" width="13.85546875" bestFit="1" customWidth="1"/>
  </cols>
  <sheetData>
    <row r="1" spans="1:15" x14ac:dyDescent="0.2">
      <c r="A1" t="s">
        <v>497</v>
      </c>
      <c r="B1" t="s">
        <v>498</v>
      </c>
      <c r="C1" t="s">
        <v>499</v>
      </c>
      <c r="D1" t="s">
        <v>500</v>
      </c>
      <c r="E1" t="s">
        <v>501</v>
      </c>
      <c r="F1" t="s">
        <v>502</v>
      </c>
      <c r="G1" t="s">
        <v>503</v>
      </c>
      <c r="H1" t="s">
        <v>504</v>
      </c>
      <c r="I1" t="s">
        <v>505</v>
      </c>
      <c r="J1" t="s">
        <v>506</v>
      </c>
      <c r="K1" t="s">
        <v>507</v>
      </c>
      <c r="L1" t="s">
        <v>508</v>
      </c>
      <c r="M1" t="s">
        <v>509</v>
      </c>
      <c r="N1" t="s">
        <v>510</v>
      </c>
      <c r="O1" t="s">
        <v>511</v>
      </c>
    </row>
    <row r="2" spans="1:15" x14ac:dyDescent="0.2">
      <c r="A2">
        <f>Customers_0!A2</f>
        <v>20015</v>
      </c>
      <c r="B2" t="str">
        <f>IFERROR(MID(Customers_0!B2,1,SEARCH(",",Customers_0!B2)-1),Customers_0!B2)</f>
        <v>Autohaus Matthias Grawe</v>
      </c>
      <c r="C2" t="str">
        <f t="shared" ref="C2:C65" si="0">IFERROR(
 IF(OR(
   LEFT(B2,3)="Dr.",
   LEFT(B2,2)="Dr",
   LEFT(B2,4)="Dres",
   LEFT(B2,5)="Dres.",
   LEFT(B2,4)="Prof",
   LEFT(B2,5)="Prof.",
   LEFT(B2,3)="PD ",
   LEFT(B2,7)="Priv.-D"
 ),
  LEFT(B2,SEARCH(" ",B2)-1),
  ""
 ),
"")</f>
        <v/>
      </c>
      <c r="D2" t="str">
        <f t="shared" ref="D2:D65" si="1">IFERROR(
 IF(C2="",
  "",
  IF(ISNUMBER(SEARCH(".",MID(B2,LEN(C2)+2,3))),
    MID(B2,LEN(C2)+2,2),
    ""
  )
 ),
"")</f>
        <v/>
      </c>
      <c r="E2" t="str">
        <f t="shared" ref="E2:E65" si="2">IFERROR(
 TRIM(
   IF(C2="",
        IF(ISNUMBER(SEARCH(",",B2)), LEFT(B2,SEARCH(",",B2)-1), B2),
        IF(D2="",
             TRIM(MID(B2, LEN(C2)+2, 999)),
             TRIM(MID(B2, LEN(C2&amp;" "&amp;D2)+2, 999))
        )
   )
 ),
""
)</f>
        <v>Autohaus Matthias Grawe</v>
      </c>
      <c r="N2" t="str">
        <f>IF(OR(ISNUMBER(SEARCH("weg",[1]Tabelle1!C2&amp;Customers_0!D2)),
          ISNUMBER(SEARCH("gekündigt",Customers_0!C2&amp;Customers_0!D2)),
          ISNUMBER(SEARCH("rente",LOWER(Customers_0!C2&amp;Customers_0!D2)))),
   "INACTIVE",
   "ACTIVE")</f>
        <v>ACTIVE</v>
      </c>
      <c r="O2" t="str">
        <f t="shared" ref="O2:O65" si="3">IF(OR(
   ISERROR(D2),
   ISERROR(E2),
   ISNUMBER(SEARCH("/",E2)),
   ISNUMBER(SEARCH("-",E2))
 ),"PRÜFEN","OK")</f>
        <v>OK</v>
      </c>
    </row>
    <row r="3" spans="1:15" x14ac:dyDescent="0.2">
      <c r="A3">
        <f>Customers_0!A3</f>
        <v>20048</v>
      </c>
      <c r="B3" t="str">
        <f>IFERROR(MID(Customers_0!B3,1,SEARCH(",",Customers_0!B3)-1),Customers_0!B3)</f>
        <v>Christel Kügler</v>
      </c>
      <c r="C3" t="str">
        <f t="shared" si="0"/>
        <v/>
      </c>
      <c r="D3" t="str">
        <f t="shared" si="1"/>
        <v/>
      </c>
      <c r="E3" t="str">
        <f t="shared" si="2"/>
        <v>Christel Kügler</v>
      </c>
      <c r="N3" t="str">
        <f>IF(OR(ISNUMBER(SEARCH("weg",[1]Tabelle1!C3&amp;Customers_0!D3)),
          ISNUMBER(SEARCH("gekündigt",Customers_0!C3&amp;Customers_0!D3)),
          ISNUMBER(SEARCH("rente",LOWER(Customers_0!C3&amp;Customers_0!D3)))),
   "INACTIVE",
   "ACTIVE")</f>
        <v>ACTIVE</v>
      </c>
      <c r="O3" t="str">
        <f t="shared" si="3"/>
        <v>OK</v>
      </c>
    </row>
    <row r="4" spans="1:15" x14ac:dyDescent="0.2">
      <c r="A4">
        <f>Customers_0!A4</f>
        <v>20201</v>
      </c>
      <c r="B4" t="str">
        <f>IFERROR(MID(Customers_0!B4,1,SEARCH(",",Customers_0!B4)-1),Customers_0!B4)</f>
        <v>Dr. Schurig</v>
      </c>
      <c r="C4" t="str">
        <f t="shared" si="0"/>
        <v>Dr.</v>
      </c>
      <c r="D4" t="str">
        <f t="shared" si="1"/>
        <v/>
      </c>
      <c r="E4" t="str">
        <f t="shared" si="2"/>
        <v>Schurig</v>
      </c>
      <c r="N4" t="str">
        <f>IF(OR(ISNUMBER(SEARCH("weg",[1]Tabelle1!C4&amp;Customers_0!D4)),
          ISNUMBER(SEARCH("gekündigt",Customers_0!C4&amp;Customers_0!D4)),
          ISNUMBER(SEARCH("rente",LOWER(Customers_0!C4&amp;Customers_0!D4)))),
   "INACTIVE",
   "ACTIVE")</f>
        <v>ACTIVE</v>
      </c>
      <c r="O4" t="str">
        <f t="shared" si="3"/>
        <v>OK</v>
      </c>
    </row>
    <row r="5" spans="1:15" x14ac:dyDescent="0.2">
      <c r="A5">
        <f>Customers_0!A5</f>
        <v>20203</v>
      </c>
      <c r="B5" t="str">
        <f>IFERROR(MID(Customers_0!B5,1,SEARCH(",",Customers_0!B5)-1),Customers_0!B5)</f>
        <v>Dr. Bickel</v>
      </c>
      <c r="C5" t="str">
        <f t="shared" si="0"/>
        <v>Dr.</v>
      </c>
      <c r="D5" t="str">
        <f t="shared" si="1"/>
        <v/>
      </c>
      <c r="E5" t="str">
        <f t="shared" si="2"/>
        <v>Bickel</v>
      </c>
      <c r="N5" t="str">
        <f>IF(OR(ISNUMBER(SEARCH("weg",[1]Tabelle1!C5&amp;Customers_0!D5)),
          ISNUMBER(SEARCH("gekündigt",Customers_0!C5&amp;Customers_0!D5)),
          ISNUMBER(SEARCH("rente",LOWER(Customers_0!C5&amp;Customers_0!D5)))),
   "INACTIVE",
   "ACTIVE")</f>
        <v>ACTIVE</v>
      </c>
      <c r="O5" t="str">
        <f t="shared" si="3"/>
        <v>OK</v>
      </c>
    </row>
    <row r="6" spans="1:15" x14ac:dyDescent="0.2">
      <c r="A6">
        <f>Customers_0!A6</f>
        <v>20204</v>
      </c>
      <c r="B6" t="str">
        <f>IFERROR(MID(Customers_0!B6,1,SEARCH(",",Customers_0!B6)-1),Customers_0!B6)</f>
        <v>AsA Consulting</v>
      </c>
      <c r="C6" t="str">
        <f t="shared" si="0"/>
        <v/>
      </c>
      <c r="D6" t="str">
        <f t="shared" si="1"/>
        <v/>
      </c>
      <c r="E6" t="str">
        <f t="shared" si="2"/>
        <v>AsA Consulting</v>
      </c>
      <c r="N6" t="str">
        <f>IF(OR(ISNUMBER(SEARCH("weg",[1]Tabelle1!C6&amp;Customers_0!D6)),
          ISNUMBER(SEARCH("gekündigt",Customers_0!C6&amp;Customers_0!D6)),
          ISNUMBER(SEARCH("rente",LOWER(Customers_0!C6&amp;Customers_0!D6)))),
   "INACTIVE",
   "ACTIVE")</f>
        <v>ACTIVE</v>
      </c>
      <c r="O6" t="str">
        <f t="shared" si="3"/>
        <v>OK</v>
      </c>
    </row>
    <row r="7" spans="1:15" x14ac:dyDescent="0.2">
      <c r="A7">
        <f>Customers_0!A7</f>
        <v>20205</v>
      </c>
      <c r="B7" t="str">
        <f>IFERROR(MID(Customers_0!B7,1,SEARCH(",",Customers_0!B7)-1),Customers_0!B7)</f>
        <v>AsA AG</v>
      </c>
      <c r="C7" t="str">
        <f t="shared" si="0"/>
        <v/>
      </c>
      <c r="D7" t="str">
        <f t="shared" si="1"/>
        <v/>
      </c>
      <c r="E7" t="str">
        <f t="shared" si="2"/>
        <v>AsA AG</v>
      </c>
      <c r="N7" t="str">
        <f>IF(OR(ISNUMBER(SEARCH("weg",[1]Tabelle1!C7&amp;Customers_0!D7)),
          ISNUMBER(SEARCH("gekündigt",Customers_0!C7&amp;Customers_0!D7)),
          ISNUMBER(SEARCH("rente",LOWER(Customers_0!C7&amp;Customers_0!D7)))),
   "INACTIVE",
   "ACTIVE")</f>
        <v>ACTIVE</v>
      </c>
      <c r="O7" t="str">
        <f t="shared" si="3"/>
        <v>OK</v>
      </c>
    </row>
    <row r="8" spans="1:15" x14ac:dyDescent="0.2">
      <c r="A8">
        <f>Customers_0!A8</f>
        <v>20228</v>
      </c>
      <c r="B8" t="str">
        <f>IFERROR(MID(Customers_0!B8,1,SEARCH(",",Customers_0!B8)-1),Customers_0!B8)</f>
        <v>Dr. Thumulka</v>
      </c>
      <c r="C8" t="str">
        <f t="shared" si="0"/>
        <v>Dr.</v>
      </c>
      <c r="D8" t="str">
        <f t="shared" si="1"/>
        <v/>
      </c>
      <c r="E8" t="str">
        <f t="shared" si="2"/>
        <v>Thumulka</v>
      </c>
      <c r="N8" t="str">
        <f>IF(OR(ISNUMBER(SEARCH("weg",[1]Tabelle1!C8&amp;Customers_0!D8)),
          ISNUMBER(SEARCH("gekündigt",Customers_0!C8&amp;Customers_0!D8)),
          ISNUMBER(SEARCH("rente",LOWER(Customers_0!C8&amp;Customers_0!D8)))),
   "INACTIVE",
   "ACTIVE")</f>
        <v>ACTIVE</v>
      </c>
      <c r="O8" t="str">
        <f t="shared" si="3"/>
        <v>OK</v>
      </c>
    </row>
    <row r="9" spans="1:15" x14ac:dyDescent="0.2">
      <c r="A9">
        <f>Customers_0!A9</f>
        <v>20231</v>
      </c>
      <c r="B9" t="str">
        <f>IFERROR(MID(Customers_0!B9,1,SEARCH(",",Customers_0!B9)-1),Customers_0!B9)</f>
        <v>Trimedic</v>
      </c>
      <c r="C9" t="str">
        <f t="shared" si="0"/>
        <v/>
      </c>
      <c r="D9" t="str">
        <f t="shared" si="1"/>
        <v/>
      </c>
      <c r="E9" t="str">
        <f t="shared" si="2"/>
        <v>Trimedic</v>
      </c>
      <c r="N9" t="str">
        <f>IF(OR(ISNUMBER(SEARCH("weg",[1]Tabelle1!C9&amp;Customers_0!D9)),
          ISNUMBER(SEARCH("gekündigt",Customers_0!C9&amp;Customers_0!D9)),
          ISNUMBER(SEARCH("rente",LOWER(Customers_0!C9&amp;Customers_0!D9)))),
   "INACTIVE",
   "ACTIVE")</f>
        <v>ACTIVE</v>
      </c>
      <c r="O9" t="str">
        <f t="shared" si="3"/>
        <v>OK</v>
      </c>
    </row>
    <row r="10" spans="1:15" x14ac:dyDescent="0.2">
      <c r="A10">
        <f>Customers_0!A10</f>
        <v>20258</v>
      </c>
      <c r="B10" t="str">
        <f>IFERROR(MID(Customers_0!B10,1,SEARCH(",",Customers_0!B10)-1),Customers_0!B10)</f>
        <v>Dr. Hunting</v>
      </c>
      <c r="C10" t="str">
        <f t="shared" si="0"/>
        <v>Dr.</v>
      </c>
      <c r="D10" t="str">
        <f t="shared" si="1"/>
        <v/>
      </c>
      <c r="E10" t="str">
        <f t="shared" si="2"/>
        <v>Hunting</v>
      </c>
      <c r="N10" t="str">
        <f>IF(OR(ISNUMBER(SEARCH("weg",[1]Tabelle1!C10&amp;Customers_0!D10)),
          ISNUMBER(SEARCH("gekündigt",Customers_0!C10&amp;Customers_0!D10)),
          ISNUMBER(SEARCH("rente",LOWER(Customers_0!C10&amp;Customers_0!D10)))),
   "INACTIVE",
   "ACTIVE")</f>
        <v>ACTIVE</v>
      </c>
      <c r="O10" t="str">
        <f t="shared" si="3"/>
        <v>OK</v>
      </c>
    </row>
    <row r="11" spans="1:15" x14ac:dyDescent="0.2">
      <c r="A11">
        <f>Customers_0!A11</f>
        <v>20266</v>
      </c>
      <c r="B11" t="str">
        <f>IFERROR(MID(Customers_0!B11,1,SEARCH(",",Customers_0!B11)-1),Customers_0!B11)</f>
        <v>Dr. A. Dinkler-Evers</v>
      </c>
      <c r="C11" t="str">
        <f t="shared" si="0"/>
        <v>Dr.</v>
      </c>
      <c r="D11" t="str">
        <f t="shared" si="1"/>
        <v>A.</v>
      </c>
      <c r="E11" t="str">
        <f t="shared" si="2"/>
        <v>Dinkler-Evers</v>
      </c>
      <c r="N11" t="str">
        <f>IF(OR(ISNUMBER(SEARCH("weg",[1]Tabelle1!C11&amp;Customers_0!D11)),
          ISNUMBER(SEARCH("gekündigt",Customers_0!C11&amp;Customers_0!D11)),
          ISNUMBER(SEARCH("rente",LOWER(Customers_0!C11&amp;Customers_0!D11)))),
   "INACTIVE",
   "ACTIVE")</f>
        <v>INACTIVE</v>
      </c>
      <c r="O11" t="str">
        <f t="shared" si="3"/>
        <v>PRÜFEN</v>
      </c>
    </row>
    <row r="12" spans="1:15" x14ac:dyDescent="0.2">
      <c r="A12">
        <f>Customers_0!A12</f>
        <v>20269</v>
      </c>
      <c r="B12" t="str">
        <f>IFERROR(MID(Customers_0!B12,1,SEARCH(",",Customers_0!B12)-1),Customers_0!B12)</f>
        <v>Dres. Schmidt/ Riethmüller</v>
      </c>
      <c r="C12" t="str">
        <f t="shared" si="0"/>
        <v>Dres.</v>
      </c>
      <c r="D12" t="str">
        <f t="shared" si="1"/>
        <v/>
      </c>
      <c r="E12" t="str">
        <f t="shared" si="2"/>
        <v>Schmidt/ Riethmüller</v>
      </c>
      <c r="N12" t="str">
        <f>IF(OR(ISNUMBER(SEARCH("weg",[1]Tabelle1!C12&amp;Customers_0!D12)),
          ISNUMBER(SEARCH("gekündigt",Customers_0!C12&amp;Customers_0!D12)),
          ISNUMBER(SEARCH("rente",LOWER(Customers_0!C12&amp;Customers_0!D12)))),
   "INACTIVE",
   "ACTIVE")</f>
        <v>INACTIVE</v>
      </c>
      <c r="O12" t="str">
        <f t="shared" si="3"/>
        <v>PRÜFEN</v>
      </c>
    </row>
    <row r="13" spans="1:15" x14ac:dyDescent="0.2">
      <c r="A13">
        <f>Customers_0!A13</f>
        <v>20272</v>
      </c>
      <c r="B13" t="str">
        <f>IFERROR(MID(Customers_0!B13,1,SEARCH(",",Customers_0!B13)-1),Customers_0!B13)</f>
        <v>Dr. Kreisel</v>
      </c>
      <c r="C13" t="str">
        <f t="shared" si="0"/>
        <v>Dr.</v>
      </c>
      <c r="D13" t="str">
        <f t="shared" si="1"/>
        <v/>
      </c>
      <c r="E13" t="str">
        <f t="shared" si="2"/>
        <v>Kreisel</v>
      </c>
      <c r="N13" t="str">
        <f>IF(OR(ISNUMBER(SEARCH("weg",[1]Tabelle1!C13&amp;Customers_0!D13)),
          ISNUMBER(SEARCH("gekündigt",Customers_0!C13&amp;Customers_0!D13)),
          ISNUMBER(SEARCH("rente",LOWER(Customers_0!C13&amp;Customers_0!D13)))),
   "INACTIVE",
   "ACTIVE")</f>
        <v>INACTIVE</v>
      </c>
      <c r="O13" t="str">
        <f t="shared" si="3"/>
        <v>OK</v>
      </c>
    </row>
    <row r="14" spans="1:15" x14ac:dyDescent="0.2">
      <c r="A14">
        <f>Customers_0!A14</f>
        <v>20276</v>
      </c>
      <c r="B14" t="str">
        <f>IFERROR(MID(Customers_0!B14,1,SEARCH(",",Customers_0!B14)-1),Customers_0!B14)</f>
        <v>Dr Falkenstein</v>
      </c>
      <c r="C14" t="str">
        <f t="shared" si="0"/>
        <v>Dr</v>
      </c>
      <c r="D14" t="str">
        <f t="shared" si="1"/>
        <v/>
      </c>
      <c r="E14" t="str">
        <f t="shared" si="2"/>
        <v>Falkenstein</v>
      </c>
      <c r="N14" t="str">
        <f>IF(OR(ISNUMBER(SEARCH("weg",[1]Tabelle1!C14&amp;Customers_0!D14)),
          ISNUMBER(SEARCH("gekündigt",Customers_0!C14&amp;Customers_0!D14)),
          ISNUMBER(SEARCH("rente",LOWER(Customers_0!C14&amp;Customers_0!D14)))),
   "INACTIVE",
   "ACTIVE")</f>
        <v>ACTIVE</v>
      </c>
      <c r="O14" t="str">
        <f t="shared" si="3"/>
        <v>OK</v>
      </c>
    </row>
    <row r="15" spans="1:15" x14ac:dyDescent="0.2">
      <c r="A15">
        <f>Customers_0!A15</f>
        <v>20292</v>
      </c>
      <c r="B15" t="str">
        <f>IFERROR(MID(Customers_0!B15,1,SEARCH(",",Customers_0!B15)-1),Customers_0!B15)</f>
        <v>Dres. Krause</v>
      </c>
      <c r="C15" t="str">
        <f t="shared" si="0"/>
        <v>Dres.</v>
      </c>
      <c r="D15" t="str">
        <f t="shared" si="1"/>
        <v/>
      </c>
      <c r="E15" t="str">
        <f t="shared" si="2"/>
        <v>Krause</v>
      </c>
      <c r="N15" t="str">
        <f>IF(OR(ISNUMBER(SEARCH("weg",[1]Tabelle1!C15&amp;Customers_0!D15)),
          ISNUMBER(SEARCH("gekündigt",Customers_0!C15&amp;Customers_0!D15)),
          ISNUMBER(SEARCH("rente",LOWER(Customers_0!C15&amp;Customers_0!D15)))),
   "INACTIVE",
   "ACTIVE")</f>
        <v>ACTIVE</v>
      </c>
      <c r="O15" t="str">
        <f t="shared" si="3"/>
        <v>OK</v>
      </c>
    </row>
    <row r="16" spans="1:15" x14ac:dyDescent="0.2">
      <c r="A16">
        <f>Customers_0!A16</f>
        <v>20295</v>
      </c>
      <c r="B16" t="str">
        <f>IFERROR(MID(Customers_0!B16,1,SEARCH(",",Customers_0!B16)-1),Customers_0!B16)</f>
        <v>Dr. Kath</v>
      </c>
      <c r="C16" t="str">
        <f t="shared" si="0"/>
        <v>Dr.</v>
      </c>
      <c r="D16" t="str">
        <f t="shared" si="1"/>
        <v/>
      </c>
      <c r="E16" t="str">
        <f t="shared" si="2"/>
        <v>Kath</v>
      </c>
      <c r="N16" t="str">
        <f>IF(OR(ISNUMBER(SEARCH("weg",[1]Tabelle1!C16&amp;Customers_0!D16)),
          ISNUMBER(SEARCH("gekündigt",Customers_0!C16&amp;Customers_0!D16)),
          ISNUMBER(SEARCH("rente",LOWER(Customers_0!C16&amp;Customers_0!D16)))),
   "INACTIVE",
   "ACTIVE")</f>
        <v>INACTIVE</v>
      </c>
      <c r="O16" t="str">
        <f t="shared" si="3"/>
        <v>OK</v>
      </c>
    </row>
    <row r="17" spans="1:15" x14ac:dyDescent="0.2">
      <c r="A17">
        <f>Customers_0!A17</f>
        <v>20298</v>
      </c>
      <c r="B17" t="str">
        <f>IFERROR(MID(Customers_0!B17,1,SEARCH(",",Customers_0!B17)-1),Customers_0!B17)</f>
        <v>Dr.Bakhtari</v>
      </c>
      <c r="C17" t="str">
        <f t="shared" si="0"/>
        <v/>
      </c>
      <c r="D17" t="str">
        <f t="shared" si="1"/>
        <v/>
      </c>
      <c r="E17" t="str">
        <f t="shared" si="2"/>
        <v>Dr.Bakhtari</v>
      </c>
      <c r="N17" t="str">
        <f>IF(OR(ISNUMBER(SEARCH("weg",[1]Tabelle1!C17&amp;Customers_0!D17)),
          ISNUMBER(SEARCH("gekündigt",Customers_0!C17&amp;Customers_0!D17)),
          ISNUMBER(SEARCH("rente",LOWER(Customers_0!C17&amp;Customers_0!D17)))),
   "INACTIVE",
   "ACTIVE")</f>
        <v>INACTIVE</v>
      </c>
      <c r="O17" t="str">
        <f t="shared" si="3"/>
        <v>OK</v>
      </c>
    </row>
    <row r="18" spans="1:15" x14ac:dyDescent="0.2">
      <c r="A18">
        <f>Customers_0!A18</f>
        <v>20308</v>
      </c>
      <c r="B18" t="str">
        <f>IFERROR(MID(Customers_0!B18,1,SEARCH(",",Customers_0!B18)-1),Customers_0!B18)</f>
        <v>Dr. Kapp</v>
      </c>
      <c r="C18" t="str">
        <f t="shared" si="0"/>
        <v>Dr.</v>
      </c>
      <c r="D18" t="str">
        <f t="shared" si="1"/>
        <v/>
      </c>
      <c r="E18" t="str">
        <f t="shared" si="2"/>
        <v>Kapp</v>
      </c>
      <c r="N18" t="str">
        <f>IF(OR(ISNUMBER(SEARCH("weg",[1]Tabelle1!C18&amp;Customers_0!D18)),
          ISNUMBER(SEARCH("gekündigt",Customers_0!C18&amp;Customers_0!D18)),
          ISNUMBER(SEARCH("rente",LOWER(Customers_0!C18&amp;Customers_0!D18)))),
   "INACTIVE",
   "ACTIVE")</f>
        <v>INACTIVE</v>
      </c>
      <c r="O18" t="str">
        <f t="shared" si="3"/>
        <v>OK</v>
      </c>
    </row>
    <row r="19" spans="1:15" x14ac:dyDescent="0.2">
      <c r="A19">
        <f>Customers_0!A19</f>
        <v>20311</v>
      </c>
      <c r="B19" t="str">
        <f>IFERROR(MID(Customers_0!B19,1,SEARCH(",",Customers_0!B19)-1),Customers_0!B19)</f>
        <v>Dr. H. Mahler</v>
      </c>
      <c r="C19" t="str">
        <f t="shared" si="0"/>
        <v>Dr.</v>
      </c>
      <c r="D19" t="str">
        <f t="shared" si="1"/>
        <v>H.</v>
      </c>
      <c r="E19" t="str">
        <f t="shared" si="2"/>
        <v>Mahler</v>
      </c>
      <c r="N19" t="str">
        <f>IF(OR(ISNUMBER(SEARCH("weg",[1]Tabelle1!C19&amp;Customers_0!D19)),
          ISNUMBER(SEARCH("gekündigt",Customers_0!C19&amp;Customers_0!D19)),
          ISNUMBER(SEARCH("rente",LOWER(Customers_0!C19&amp;Customers_0!D19)))),
   "INACTIVE",
   "ACTIVE")</f>
        <v>ACTIVE</v>
      </c>
      <c r="O19" t="str">
        <f t="shared" si="3"/>
        <v>OK</v>
      </c>
    </row>
    <row r="20" spans="1:15" x14ac:dyDescent="0.2">
      <c r="A20">
        <f>Customers_0!A20</f>
        <v>20312</v>
      </c>
      <c r="B20" t="str">
        <f>IFERROR(MID(Customers_0!B20,1,SEARCH(",",Customers_0!B20)-1),Customers_0!B20)</f>
        <v>Dr. Bretschneider</v>
      </c>
      <c r="C20" t="str">
        <f t="shared" si="0"/>
        <v>Dr.</v>
      </c>
      <c r="D20" t="str">
        <f t="shared" si="1"/>
        <v/>
      </c>
      <c r="E20" t="str">
        <f t="shared" si="2"/>
        <v>Bretschneider</v>
      </c>
      <c r="N20" t="str">
        <f>IF(OR(ISNUMBER(SEARCH("weg",[1]Tabelle1!C20&amp;Customers_0!D20)),
          ISNUMBER(SEARCH("gekündigt",Customers_0!C20&amp;Customers_0!D20)),
          ISNUMBER(SEARCH("rente",LOWER(Customers_0!C20&amp;Customers_0!D20)))),
   "INACTIVE",
   "ACTIVE")</f>
        <v>ACTIVE</v>
      </c>
      <c r="O20" t="str">
        <f t="shared" si="3"/>
        <v>OK</v>
      </c>
    </row>
    <row r="21" spans="1:15" x14ac:dyDescent="0.2">
      <c r="A21">
        <f>Customers_0!A21</f>
        <v>20316</v>
      </c>
      <c r="B21" t="str">
        <f>IFERROR(MID(Customers_0!B21,1,SEARCH(",",Customers_0!B21)-1),Customers_0!B21)</f>
        <v>Dr. Lindenthal</v>
      </c>
      <c r="C21" t="str">
        <f t="shared" si="0"/>
        <v>Dr.</v>
      </c>
      <c r="D21" t="str">
        <f t="shared" si="1"/>
        <v/>
      </c>
      <c r="E21" t="str">
        <f t="shared" si="2"/>
        <v>Lindenthal</v>
      </c>
      <c r="N21" t="str">
        <f>IF(OR(ISNUMBER(SEARCH("weg",[1]Tabelle1!C21&amp;Customers_0!D21)),
          ISNUMBER(SEARCH("gekündigt",Customers_0!C21&amp;Customers_0!D21)),
          ISNUMBER(SEARCH("rente",LOWER(Customers_0!C21&amp;Customers_0!D21)))),
   "INACTIVE",
   "ACTIVE")</f>
        <v>ACTIVE</v>
      </c>
      <c r="O21" t="str">
        <f t="shared" si="3"/>
        <v>OK</v>
      </c>
    </row>
    <row r="22" spans="1:15" x14ac:dyDescent="0.2">
      <c r="A22">
        <f>Customers_0!A22</f>
        <v>20317</v>
      </c>
      <c r="B22" t="str">
        <f>IFERROR(MID(Customers_0!B22,1,SEARCH(",",Customers_0!B22)-1),Customers_0!B22)</f>
        <v>Dr. Besuden</v>
      </c>
      <c r="C22" t="str">
        <f t="shared" si="0"/>
        <v>Dr.</v>
      </c>
      <c r="D22" t="str">
        <f t="shared" si="1"/>
        <v/>
      </c>
      <c r="E22" t="str">
        <f t="shared" si="2"/>
        <v>Besuden</v>
      </c>
      <c r="N22" t="str">
        <f>IF(OR(ISNUMBER(SEARCH("weg",[1]Tabelle1!C22&amp;Customers_0!D22)),
          ISNUMBER(SEARCH("gekündigt",Customers_0!C22&amp;Customers_0!D22)),
          ISNUMBER(SEARCH("rente",LOWER(Customers_0!C22&amp;Customers_0!D22)))),
   "INACTIVE",
   "ACTIVE")</f>
        <v>ACTIVE</v>
      </c>
      <c r="O22" t="str">
        <f t="shared" si="3"/>
        <v>OK</v>
      </c>
    </row>
    <row r="23" spans="1:15" x14ac:dyDescent="0.2">
      <c r="A23">
        <f>Customers_0!A23</f>
        <v>20318</v>
      </c>
      <c r="B23" t="str">
        <f>IFERROR(MID(Customers_0!B23,1,SEARCH(",",Customers_0!B23)-1),Customers_0!B23)</f>
        <v>Ralf Zimmermann</v>
      </c>
      <c r="C23" t="str">
        <f t="shared" si="0"/>
        <v/>
      </c>
      <c r="D23" t="str">
        <f t="shared" si="1"/>
        <v/>
      </c>
      <c r="E23" t="str">
        <f t="shared" si="2"/>
        <v>Ralf Zimmermann</v>
      </c>
      <c r="N23" t="str">
        <f>IF(OR(ISNUMBER(SEARCH("weg",[1]Tabelle1!C23&amp;Customers_0!D23)),
          ISNUMBER(SEARCH("gekündigt",Customers_0!C23&amp;Customers_0!D23)),
          ISNUMBER(SEARCH("rente",LOWER(Customers_0!C23&amp;Customers_0!D23)))),
   "INACTIVE",
   "ACTIVE")</f>
        <v>ACTIVE</v>
      </c>
      <c r="O23" t="str">
        <f t="shared" si="3"/>
        <v>OK</v>
      </c>
    </row>
    <row r="24" spans="1:15" x14ac:dyDescent="0.2">
      <c r="A24">
        <f>Customers_0!A24</f>
        <v>20319</v>
      </c>
      <c r="B24" t="str">
        <f>IFERROR(MID(Customers_0!B24,1,SEARCH(",",Customers_0!B24)-1),Customers_0!B24)</f>
        <v>Dr. Brinkmann</v>
      </c>
      <c r="C24" t="str">
        <f t="shared" si="0"/>
        <v>Dr.</v>
      </c>
      <c r="D24" t="str">
        <f t="shared" si="1"/>
        <v/>
      </c>
      <c r="E24" t="str">
        <f t="shared" si="2"/>
        <v>Brinkmann</v>
      </c>
      <c r="N24" t="str">
        <f>IF(OR(ISNUMBER(SEARCH("weg",[1]Tabelle1!C24&amp;Customers_0!D24)),
          ISNUMBER(SEARCH("gekündigt",Customers_0!C24&amp;Customers_0!D24)),
          ISNUMBER(SEARCH("rente",LOWER(Customers_0!C24&amp;Customers_0!D24)))),
   "INACTIVE",
   "ACTIVE")</f>
        <v>ACTIVE</v>
      </c>
      <c r="O24" t="str">
        <f t="shared" si="3"/>
        <v>OK</v>
      </c>
    </row>
    <row r="25" spans="1:15" x14ac:dyDescent="0.2">
      <c r="A25">
        <f>Customers_0!A25</f>
        <v>20320</v>
      </c>
      <c r="B25" t="str">
        <f>IFERROR(MID(Customers_0!B25,1,SEARCH(",",Customers_0!B25)-1),Customers_0!B25)</f>
        <v>Rühle-Klingenstein</v>
      </c>
      <c r="C25" t="str">
        <f t="shared" si="0"/>
        <v/>
      </c>
      <c r="D25" t="str">
        <f t="shared" si="1"/>
        <v/>
      </c>
      <c r="E25" t="str">
        <f t="shared" si="2"/>
        <v>Rühle-Klingenstein</v>
      </c>
      <c r="N25" t="str">
        <f>IF(OR(ISNUMBER(SEARCH("weg",[1]Tabelle1!C25&amp;Customers_0!D25)),
          ISNUMBER(SEARCH("gekündigt",Customers_0!C25&amp;Customers_0!D25)),
          ISNUMBER(SEARCH("rente",LOWER(Customers_0!C25&amp;Customers_0!D25)))),
   "INACTIVE",
   "ACTIVE")</f>
        <v>INACTIVE</v>
      </c>
      <c r="O25" t="str">
        <f t="shared" si="3"/>
        <v>PRÜFEN</v>
      </c>
    </row>
    <row r="26" spans="1:15" x14ac:dyDescent="0.2">
      <c r="A26">
        <f>Customers_0!A26</f>
        <v>20321</v>
      </c>
      <c r="B26" t="str">
        <f>IFERROR(MID(Customers_0!B26,1,SEARCH(",",Customers_0!B26)-1),Customers_0!B26)</f>
        <v>Dr.M. Riegel</v>
      </c>
      <c r="C26" t="str">
        <f t="shared" si="0"/>
        <v>Dr.M.</v>
      </c>
      <c r="D26" t="str">
        <f t="shared" si="1"/>
        <v/>
      </c>
      <c r="E26" t="str">
        <f t="shared" si="2"/>
        <v>Riegel</v>
      </c>
      <c r="N26" t="str">
        <f>IF(OR(ISNUMBER(SEARCH("weg",[1]Tabelle1!C26&amp;Customers_0!D26)),
          ISNUMBER(SEARCH("gekündigt",Customers_0!C26&amp;Customers_0!D26)),
          ISNUMBER(SEARCH("rente",LOWER(Customers_0!C26&amp;Customers_0!D26)))),
   "INACTIVE",
   "ACTIVE")</f>
        <v>ACTIVE</v>
      </c>
      <c r="O26" t="str">
        <f t="shared" si="3"/>
        <v>OK</v>
      </c>
    </row>
    <row r="27" spans="1:15" x14ac:dyDescent="0.2">
      <c r="A27">
        <f>Customers_0!A27</f>
        <v>20325</v>
      </c>
      <c r="B27" t="str">
        <f>IFERROR(MID(Customers_0!B27,1,SEARCH(",",Customers_0!B27)-1),Customers_0!B27)</f>
        <v>Dres.Hahn/Gaens</v>
      </c>
      <c r="C27" t="str">
        <f t="shared" si="0"/>
        <v/>
      </c>
      <c r="D27" t="str">
        <f t="shared" si="1"/>
        <v/>
      </c>
      <c r="E27" t="str">
        <f t="shared" si="2"/>
        <v>Dres.Hahn/Gaens</v>
      </c>
      <c r="N27" t="str">
        <f>IF(OR(ISNUMBER(SEARCH("weg",[1]Tabelle1!C27&amp;Customers_0!D27)),
          ISNUMBER(SEARCH("gekündigt",Customers_0!C27&amp;Customers_0!D27)),
          ISNUMBER(SEARCH("rente",LOWER(Customers_0!C27&amp;Customers_0!D27)))),
   "INACTIVE",
   "ACTIVE")</f>
        <v>ACTIVE</v>
      </c>
      <c r="O27" t="str">
        <f t="shared" si="3"/>
        <v>PRÜFEN</v>
      </c>
    </row>
    <row r="28" spans="1:15" x14ac:dyDescent="0.2">
      <c r="A28">
        <f>Customers_0!A28</f>
        <v>20327</v>
      </c>
      <c r="B28" t="str">
        <f>IFERROR(MID(Customers_0!B28,1,SEARCH(",",Customers_0!B28)-1),Customers_0!B28)</f>
        <v>Dr. Bihlmaier</v>
      </c>
      <c r="C28" t="str">
        <f t="shared" si="0"/>
        <v>Dr.</v>
      </c>
      <c r="D28" t="str">
        <f t="shared" si="1"/>
        <v/>
      </c>
      <c r="E28" t="str">
        <f t="shared" si="2"/>
        <v>Bihlmaier</v>
      </c>
      <c r="N28" t="str">
        <f>IF(OR(ISNUMBER(SEARCH("weg",[1]Tabelle1!C28&amp;Customers_0!D28)),
          ISNUMBER(SEARCH("gekündigt",Customers_0!C28&amp;Customers_0!D28)),
          ISNUMBER(SEARCH("rente",LOWER(Customers_0!C28&amp;Customers_0!D28)))),
   "INACTIVE",
   "ACTIVE")</f>
        <v>ACTIVE</v>
      </c>
      <c r="O28" t="str">
        <f t="shared" si="3"/>
        <v>OK</v>
      </c>
    </row>
    <row r="29" spans="1:15" x14ac:dyDescent="0.2">
      <c r="A29">
        <f>Customers_0!A29</f>
        <v>20331</v>
      </c>
      <c r="B29" t="str">
        <f>IFERROR(MID(Customers_0!B29,1,SEARCH(",",Customers_0!B29)-1),Customers_0!B29)</f>
        <v>Dr. Zirnstein</v>
      </c>
      <c r="C29" t="str">
        <f t="shared" si="0"/>
        <v>Dr.</v>
      </c>
      <c r="D29" t="str">
        <f t="shared" si="1"/>
        <v/>
      </c>
      <c r="E29" t="str">
        <f t="shared" si="2"/>
        <v>Zirnstein</v>
      </c>
      <c r="N29" t="str">
        <f>IF(OR(ISNUMBER(SEARCH("weg",[1]Tabelle1!C29&amp;Customers_0!D29)),
          ISNUMBER(SEARCH("gekündigt",Customers_0!C29&amp;Customers_0!D29)),
          ISNUMBER(SEARCH("rente",LOWER(Customers_0!C29&amp;Customers_0!D29)))),
   "INACTIVE",
   "ACTIVE")</f>
        <v>ACTIVE</v>
      </c>
      <c r="O29" t="str">
        <f t="shared" si="3"/>
        <v>OK</v>
      </c>
    </row>
    <row r="30" spans="1:15" x14ac:dyDescent="0.2">
      <c r="A30">
        <f>Customers_0!A30</f>
        <v>20333</v>
      </c>
      <c r="B30" t="str">
        <f>IFERROR(MID(Customers_0!B30,1,SEARCH(",",Customers_0!B30)-1),Customers_0!B30)</f>
        <v>Dr. Sayegh</v>
      </c>
      <c r="C30" t="str">
        <f t="shared" si="0"/>
        <v>Dr.</v>
      </c>
      <c r="D30" t="str">
        <f t="shared" si="1"/>
        <v/>
      </c>
      <c r="E30" t="str">
        <f t="shared" si="2"/>
        <v>Sayegh</v>
      </c>
      <c r="N30" t="str">
        <f>IF(OR(ISNUMBER(SEARCH("weg",[1]Tabelle1!C30&amp;Customers_0!D30)),
          ISNUMBER(SEARCH("gekündigt",Customers_0!C30&amp;Customers_0!D30)),
          ISNUMBER(SEARCH("rente",LOWER(Customers_0!C30&amp;Customers_0!D30)))),
   "INACTIVE",
   "ACTIVE")</f>
        <v>INACTIVE</v>
      </c>
      <c r="O30" t="str">
        <f t="shared" si="3"/>
        <v>OK</v>
      </c>
    </row>
    <row r="31" spans="1:15" x14ac:dyDescent="0.2">
      <c r="A31">
        <f>Customers_0!A31</f>
        <v>20335</v>
      </c>
      <c r="B31" t="str">
        <f>IFERROR(MID(Customers_0!B31,1,SEARCH(",",Customers_0!B31)-1),Customers_0!B31)</f>
        <v>Dr. Bruder</v>
      </c>
      <c r="C31" t="str">
        <f t="shared" si="0"/>
        <v>Dr.</v>
      </c>
      <c r="D31" t="str">
        <f t="shared" si="1"/>
        <v/>
      </c>
      <c r="E31" t="str">
        <f t="shared" si="2"/>
        <v>Bruder</v>
      </c>
      <c r="N31" t="str">
        <f>IF(OR(ISNUMBER(SEARCH("weg",[1]Tabelle1!C31&amp;Customers_0!D31)),
          ISNUMBER(SEARCH("gekündigt",Customers_0!C31&amp;Customers_0!D31)),
          ISNUMBER(SEARCH("rente",LOWER(Customers_0!C31&amp;Customers_0!D31)))),
   "INACTIVE",
   "ACTIVE")</f>
        <v>INACTIVE</v>
      </c>
      <c r="O31" t="str">
        <f t="shared" si="3"/>
        <v>OK</v>
      </c>
    </row>
    <row r="32" spans="1:15" x14ac:dyDescent="0.2">
      <c r="A32">
        <f>Customers_0!A32</f>
        <v>20337</v>
      </c>
      <c r="B32" t="str">
        <f>IFERROR(MID(Customers_0!B32,1,SEARCH(",",Customers_0!B32)-1),Customers_0!B32)</f>
        <v xml:space="preserve">Dr.Winter </v>
      </c>
      <c r="C32" t="str">
        <f t="shared" si="0"/>
        <v>Dr.Winter</v>
      </c>
      <c r="D32" t="str">
        <f t="shared" si="1"/>
        <v/>
      </c>
      <c r="E32" t="str">
        <f t="shared" si="2"/>
        <v/>
      </c>
      <c r="N32" t="str">
        <f>IF(OR(ISNUMBER(SEARCH("weg",[1]Tabelle1!C32&amp;Customers_0!D32)),
          ISNUMBER(SEARCH("gekündigt",Customers_0!C32&amp;Customers_0!D32)),
          ISNUMBER(SEARCH("rente",LOWER(Customers_0!C32&amp;Customers_0!D32)))),
   "INACTIVE",
   "ACTIVE")</f>
        <v>ACTIVE</v>
      </c>
      <c r="O32" t="str">
        <f t="shared" si="3"/>
        <v>OK</v>
      </c>
    </row>
    <row r="33" spans="1:15" x14ac:dyDescent="0.2">
      <c r="A33">
        <f>Customers_0!A33</f>
        <v>20338</v>
      </c>
      <c r="B33" t="str">
        <f>IFERROR(MID(Customers_0!B33,1,SEARCH(",",Customers_0!B33)-1),Customers_0!B33)</f>
        <v>F.Heidorn</v>
      </c>
      <c r="C33" t="str">
        <f t="shared" si="0"/>
        <v/>
      </c>
      <c r="D33" t="str">
        <f t="shared" si="1"/>
        <v/>
      </c>
      <c r="E33" t="str">
        <f t="shared" si="2"/>
        <v>F.Heidorn</v>
      </c>
      <c r="N33" t="str">
        <f>IF(OR(ISNUMBER(SEARCH("weg",[1]Tabelle1!C33&amp;Customers_0!D33)),
          ISNUMBER(SEARCH("gekündigt",Customers_0!C33&amp;Customers_0!D33)),
          ISNUMBER(SEARCH("rente",LOWER(Customers_0!C33&amp;Customers_0!D33)))),
   "INACTIVE",
   "ACTIVE")</f>
        <v>ACTIVE</v>
      </c>
      <c r="O33" t="str">
        <f t="shared" si="3"/>
        <v>OK</v>
      </c>
    </row>
    <row r="34" spans="1:15" x14ac:dyDescent="0.2">
      <c r="A34">
        <f>Customers_0!A34</f>
        <v>20341</v>
      </c>
      <c r="B34" t="str">
        <f>IFERROR(MID(Customers_0!B34,1,SEARCH(",",Customers_0!B34)-1),Customers_0!B34)</f>
        <v>Dr. Reiff</v>
      </c>
      <c r="C34" t="str">
        <f t="shared" si="0"/>
        <v>Dr.</v>
      </c>
      <c r="D34" t="str">
        <f t="shared" si="1"/>
        <v/>
      </c>
      <c r="E34" t="str">
        <f t="shared" si="2"/>
        <v>Reiff</v>
      </c>
      <c r="N34" t="str">
        <f>IF(OR(ISNUMBER(SEARCH("weg",[1]Tabelle1!C34&amp;Customers_0!D34)),
          ISNUMBER(SEARCH("gekündigt",Customers_0!C34&amp;Customers_0!D34)),
          ISNUMBER(SEARCH("rente",LOWER(Customers_0!C34&amp;Customers_0!D34)))),
   "INACTIVE",
   "ACTIVE")</f>
        <v>INACTIVE</v>
      </c>
      <c r="O34" t="str">
        <f t="shared" si="3"/>
        <v>OK</v>
      </c>
    </row>
    <row r="35" spans="1:15" x14ac:dyDescent="0.2">
      <c r="A35">
        <f>Customers_0!A35</f>
        <v>20342</v>
      </c>
      <c r="B35" t="str">
        <f>IFERROR(MID(Customers_0!B35,1,SEARCH(",",Customers_0!B35)-1),Customers_0!B35)</f>
        <v>Dr. Röhm</v>
      </c>
      <c r="C35" t="str">
        <f t="shared" si="0"/>
        <v>Dr.</v>
      </c>
      <c r="D35" t="str">
        <f t="shared" si="1"/>
        <v/>
      </c>
      <c r="E35" t="str">
        <f t="shared" si="2"/>
        <v>Röhm</v>
      </c>
      <c r="N35" t="str">
        <f>IF(OR(ISNUMBER(SEARCH("weg",[1]Tabelle1!C35&amp;Customers_0!D35)),
          ISNUMBER(SEARCH("gekündigt",Customers_0!C35&amp;Customers_0!D35)),
          ISNUMBER(SEARCH("rente",LOWER(Customers_0!C35&amp;Customers_0!D35)))),
   "INACTIVE",
   "ACTIVE")</f>
        <v>ACTIVE</v>
      </c>
      <c r="O35" t="str">
        <f t="shared" si="3"/>
        <v>OK</v>
      </c>
    </row>
    <row r="36" spans="1:15" x14ac:dyDescent="0.2">
      <c r="A36">
        <f>Customers_0!A36</f>
        <v>20345</v>
      </c>
      <c r="B36" t="str">
        <f>IFERROR(MID(Customers_0!B36,1,SEARCH(",",Customers_0!B36)-1),Customers_0!B36)</f>
        <v>Dr.G.Müller</v>
      </c>
      <c r="C36" t="str">
        <f t="shared" si="0"/>
        <v/>
      </c>
      <c r="D36" t="str">
        <f t="shared" si="1"/>
        <v/>
      </c>
      <c r="E36" t="str">
        <f t="shared" si="2"/>
        <v>Dr.G.Müller</v>
      </c>
      <c r="N36" t="str">
        <f>IF(OR(ISNUMBER(SEARCH("weg",[1]Tabelle1!C36&amp;Customers_0!D36)),
          ISNUMBER(SEARCH("gekündigt",Customers_0!C36&amp;Customers_0!D36)),
          ISNUMBER(SEARCH("rente",LOWER(Customers_0!C36&amp;Customers_0!D36)))),
   "INACTIVE",
   "ACTIVE")</f>
        <v>ACTIVE</v>
      </c>
      <c r="O36" t="str">
        <f t="shared" si="3"/>
        <v>OK</v>
      </c>
    </row>
    <row r="37" spans="1:15" x14ac:dyDescent="0.2">
      <c r="A37">
        <f>Customers_0!A37</f>
        <v>20349</v>
      </c>
      <c r="B37" t="str">
        <f>IFERROR(MID(Customers_0!B37,1,SEARCH(",",Customers_0!B37)-1),Customers_0!B37)</f>
        <v>Dr. Hupfauf/Matt</v>
      </c>
      <c r="C37" t="str">
        <f t="shared" si="0"/>
        <v>Dr.</v>
      </c>
      <c r="D37" t="str">
        <f t="shared" si="1"/>
        <v/>
      </c>
      <c r="E37" t="str">
        <f t="shared" si="2"/>
        <v>Hupfauf/Matt</v>
      </c>
      <c r="N37" t="str">
        <f>IF(OR(ISNUMBER(SEARCH("weg",[1]Tabelle1!C37&amp;Customers_0!D37)),
          ISNUMBER(SEARCH("gekündigt",Customers_0!C37&amp;Customers_0!D37)),
          ISNUMBER(SEARCH("rente",LOWER(Customers_0!C37&amp;Customers_0!D37)))),
   "INACTIVE",
   "ACTIVE")</f>
        <v>ACTIVE</v>
      </c>
      <c r="O37" t="str">
        <f t="shared" si="3"/>
        <v>PRÜFEN</v>
      </c>
    </row>
    <row r="38" spans="1:15" x14ac:dyDescent="0.2">
      <c r="A38">
        <f>Customers_0!A38</f>
        <v>20352</v>
      </c>
      <c r="B38" t="str">
        <f>IFERROR(MID(Customers_0!B38,1,SEARCH(",",Customers_0!B38)-1),Customers_0!B38)</f>
        <v>Dres.Breitinger/ Stroebele</v>
      </c>
      <c r="C38" t="str">
        <f t="shared" si="0"/>
        <v>Dres.Breitinger/</v>
      </c>
      <c r="D38" t="str">
        <f t="shared" si="1"/>
        <v/>
      </c>
      <c r="E38" t="str">
        <f t="shared" si="2"/>
        <v>Stroebele</v>
      </c>
      <c r="N38" t="str">
        <f>IF(OR(ISNUMBER(SEARCH("weg",[1]Tabelle1!C38&amp;Customers_0!D38)),
          ISNUMBER(SEARCH("gekündigt",Customers_0!C38&amp;Customers_0!D38)),
          ISNUMBER(SEARCH("rente",LOWER(Customers_0!C38&amp;Customers_0!D38)))),
   "INACTIVE",
   "ACTIVE")</f>
        <v>ACTIVE</v>
      </c>
      <c r="O38" t="str">
        <f t="shared" si="3"/>
        <v>OK</v>
      </c>
    </row>
    <row r="39" spans="1:15" x14ac:dyDescent="0.2">
      <c r="A39">
        <f>Customers_0!A39</f>
        <v>20354</v>
      </c>
      <c r="B39" t="str">
        <f>IFERROR(MID(Customers_0!B39,1,SEARCH(",",Customers_0!B39)-1),Customers_0!B39)</f>
        <v>HNO Schicke</v>
      </c>
      <c r="C39" t="str">
        <f t="shared" si="0"/>
        <v/>
      </c>
      <c r="D39" t="str">
        <f t="shared" si="1"/>
        <v/>
      </c>
      <c r="E39" t="str">
        <f t="shared" si="2"/>
        <v>HNO Schicke</v>
      </c>
      <c r="N39" t="str">
        <f>IF(OR(ISNUMBER(SEARCH("weg",[1]Tabelle1!C39&amp;Customers_0!D39)),
          ISNUMBER(SEARCH("gekündigt",Customers_0!C39&amp;Customers_0!D39)),
          ISNUMBER(SEARCH("rente",LOWER(Customers_0!C39&amp;Customers_0!D39)))),
   "INACTIVE",
   "ACTIVE")</f>
        <v>ACTIVE</v>
      </c>
      <c r="O39" t="str">
        <f t="shared" si="3"/>
        <v>OK</v>
      </c>
    </row>
    <row r="40" spans="1:15" x14ac:dyDescent="0.2">
      <c r="A40">
        <f>Customers_0!A40</f>
        <v>20357</v>
      </c>
      <c r="B40" t="str">
        <f>IFERROR(MID(Customers_0!B40,1,SEARCH(",",Customers_0!B40)-1),Customers_0!B40)</f>
        <v>Dres. Bauer</v>
      </c>
      <c r="C40" t="str">
        <f t="shared" si="0"/>
        <v>Dres.</v>
      </c>
      <c r="D40" t="str">
        <f t="shared" si="1"/>
        <v/>
      </c>
      <c r="E40" t="str">
        <f t="shared" si="2"/>
        <v>Bauer</v>
      </c>
      <c r="N40" t="str">
        <f>IF(OR(ISNUMBER(SEARCH("weg",[1]Tabelle1!C40&amp;Customers_0!D40)),
          ISNUMBER(SEARCH("gekündigt",Customers_0!C40&amp;Customers_0!D40)),
          ISNUMBER(SEARCH("rente",LOWER(Customers_0!C40&amp;Customers_0!D40)))),
   "INACTIVE",
   "ACTIVE")</f>
        <v>ACTIVE</v>
      </c>
      <c r="O40" t="str">
        <f t="shared" si="3"/>
        <v>OK</v>
      </c>
    </row>
    <row r="41" spans="1:15" x14ac:dyDescent="0.2">
      <c r="A41">
        <f>Customers_0!A41</f>
        <v>20361</v>
      </c>
      <c r="B41" t="str">
        <f>IFERROR(MID(Customers_0!B41,1,SEARCH(",",Customers_0!B41)-1),Customers_0!B41)</f>
        <v>Petra+Werner Puls</v>
      </c>
      <c r="C41" t="str">
        <f t="shared" si="0"/>
        <v/>
      </c>
      <c r="D41" t="str">
        <f t="shared" si="1"/>
        <v/>
      </c>
      <c r="E41" t="str">
        <f t="shared" si="2"/>
        <v>Petra+Werner Puls</v>
      </c>
      <c r="N41" t="str">
        <f>IF(OR(ISNUMBER(SEARCH("weg",[1]Tabelle1!C41&amp;Customers_0!D41)),
          ISNUMBER(SEARCH("gekündigt",Customers_0!C41&amp;Customers_0!D41)),
          ISNUMBER(SEARCH("rente",LOWER(Customers_0!C41&amp;Customers_0!D41)))),
   "INACTIVE",
   "ACTIVE")</f>
        <v>ACTIVE</v>
      </c>
      <c r="O41" t="str">
        <f t="shared" si="3"/>
        <v>OK</v>
      </c>
    </row>
    <row r="42" spans="1:15" x14ac:dyDescent="0.2">
      <c r="A42">
        <f>Customers_0!A42</f>
        <v>20362</v>
      </c>
      <c r="B42" t="str">
        <f>IFERROR(MID(Customers_0!B42,1,SEARCH(",",Customers_0!B42)-1),Customers_0!B42)</f>
        <v>G. Lorentz</v>
      </c>
      <c r="C42" t="str">
        <f t="shared" si="0"/>
        <v/>
      </c>
      <c r="D42" t="str">
        <f t="shared" si="1"/>
        <v/>
      </c>
      <c r="E42" t="str">
        <f t="shared" si="2"/>
        <v>G. Lorentz</v>
      </c>
      <c r="N42" t="str">
        <f>IF(OR(ISNUMBER(SEARCH("weg",[1]Tabelle1!C42&amp;Customers_0!D42)),
          ISNUMBER(SEARCH("gekündigt",Customers_0!C42&amp;Customers_0!D42)),
          ISNUMBER(SEARCH("rente",LOWER(Customers_0!C42&amp;Customers_0!D42)))),
   "INACTIVE",
   "ACTIVE")</f>
        <v>ACTIVE</v>
      </c>
      <c r="O42" t="str">
        <f t="shared" si="3"/>
        <v>OK</v>
      </c>
    </row>
    <row r="43" spans="1:15" x14ac:dyDescent="0.2">
      <c r="A43">
        <f>Customers_0!A43</f>
        <v>20363</v>
      </c>
      <c r="B43" t="str">
        <f>IFERROR(MID(Customers_0!B43,1,SEARCH(",",Customers_0!B43)-1),Customers_0!B43)</f>
        <v>Dr. Dörhage</v>
      </c>
      <c r="C43" t="str">
        <f t="shared" si="0"/>
        <v>Dr.</v>
      </c>
      <c r="D43" t="str">
        <f t="shared" si="1"/>
        <v/>
      </c>
      <c r="E43" t="str">
        <f t="shared" si="2"/>
        <v>Dörhage</v>
      </c>
      <c r="N43" t="str">
        <f>IF(OR(ISNUMBER(SEARCH("weg",[1]Tabelle1!C43&amp;Customers_0!D43)),
          ISNUMBER(SEARCH("gekündigt",Customers_0!C43&amp;Customers_0!D43)),
          ISNUMBER(SEARCH("rente",LOWER(Customers_0!C43&amp;Customers_0!D43)))),
   "INACTIVE",
   "ACTIVE")</f>
        <v>ACTIVE</v>
      </c>
      <c r="O43" t="str">
        <f t="shared" si="3"/>
        <v>OK</v>
      </c>
    </row>
    <row r="44" spans="1:15" x14ac:dyDescent="0.2">
      <c r="A44">
        <f>Customers_0!A44</f>
        <v>20370</v>
      </c>
      <c r="B44" t="str">
        <f>IFERROR(MID(Customers_0!B44,1,SEARCH(",",Customers_0!B44)-1),Customers_0!B44)</f>
        <v>Dr. Rahmann</v>
      </c>
      <c r="C44" t="str">
        <f t="shared" si="0"/>
        <v>Dr.</v>
      </c>
      <c r="D44" t="str">
        <f t="shared" si="1"/>
        <v/>
      </c>
      <c r="E44" t="str">
        <f t="shared" si="2"/>
        <v>Rahmann</v>
      </c>
      <c r="N44" t="str">
        <f>IF(OR(ISNUMBER(SEARCH("weg",[1]Tabelle1!C44&amp;Customers_0!D44)),
          ISNUMBER(SEARCH("gekündigt",Customers_0!C44&amp;Customers_0!D44)),
          ISNUMBER(SEARCH("rente",LOWER(Customers_0!C44&amp;Customers_0!D44)))),
   "INACTIVE",
   "ACTIVE")</f>
        <v>ACTIVE</v>
      </c>
      <c r="O44" t="str">
        <f t="shared" si="3"/>
        <v>OK</v>
      </c>
    </row>
    <row r="45" spans="1:15" x14ac:dyDescent="0.2">
      <c r="A45">
        <f>Customers_0!A45</f>
        <v>20371</v>
      </c>
      <c r="B45" t="str">
        <f>IFERROR(MID(Customers_0!B45,1,SEARCH(",",Customers_0!B45)-1),Customers_0!B45)</f>
        <v>Dr. Pfister</v>
      </c>
      <c r="C45" t="str">
        <f t="shared" si="0"/>
        <v>Dr.</v>
      </c>
      <c r="D45" t="str">
        <f t="shared" si="1"/>
        <v/>
      </c>
      <c r="E45" t="str">
        <f t="shared" si="2"/>
        <v>Pfister</v>
      </c>
      <c r="N45" t="str">
        <f>IF(OR(ISNUMBER(SEARCH("weg",[1]Tabelle1!C45&amp;Customers_0!D45)),
          ISNUMBER(SEARCH("gekündigt",Customers_0!C45&amp;Customers_0!D45)),
          ISNUMBER(SEARCH("rente",LOWER(Customers_0!C45&amp;Customers_0!D45)))),
   "INACTIVE",
   "ACTIVE")</f>
        <v>ACTIVE</v>
      </c>
      <c r="O45" t="str">
        <f t="shared" si="3"/>
        <v>OK</v>
      </c>
    </row>
    <row r="46" spans="1:15" x14ac:dyDescent="0.2">
      <c r="A46">
        <f>Customers_0!A46</f>
        <v>20373</v>
      </c>
      <c r="B46" t="str">
        <f>IFERROR(MID(Customers_0!B46,1,SEARCH(",",Customers_0!B46)-1),Customers_0!B46)</f>
        <v>I. Kraemer</v>
      </c>
      <c r="C46" t="str">
        <f t="shared" si="0"/>
        <v/>
      </c>
      <c r="D46" t="str">
        <f t="shared" si="1"/>
        <v/>
      </c>
      <c r="E46" t="str">
        <f t="shared" si="2"/>
        <v>I. Kraemer</v>
      </c>
      <c r="N46" t="str">
        <f>IF(OR(ISNUMBER(SEARCH("weg",[1]Tabelle1!C46&amp;Customers_0!D46)),
          ISNUMBER(SEARCH("gekündigt",Customers_0!C46&amp;Customers_0!D46)),
          ISNUMBER(SEARCH("rente",LOWER(Customers_0!C46&amp;Customers_0!D46)))),
   "INACTIVE",
   "ACTIVE")</f>
        <v>ACTIVE</v>
      </c>
      <c r="O46" t="str">
        <f t="shared" si="3"/>
        <v>OK</v>
      </c>
    </row>
    <row r="47" spans="1:15" x14ac:dyDescent="0.2">
      <c r="A47">
        <f>Customers_0!A47</f>
        <v>20374</v>
      </c>
      <c r="B47" t="str">
        <f>IFERROR(MID(Customers_0!B47,1,SEARCH(",",Customers_0!B47)-1),Customers_0!B47)</f>
        <v>Dr. Rothermel</v>
      </c>
      <c r="C47" t="str">
        <f t="shared" si="0"/>
        <v>Dr.</v>
      </c>
      <c r="D47" t="str">
        <f t="shared" si="1"/>
        <v/>
      </c>
      <c r="E47" t="str">
        <f t="shared" si="2"/>
        <v>Rothermel</v>
      </c>
      <c r="N47" t="str">
        <f>IF(OR(ISNUMBER(SEARCH("weg",[1]Tabelle1!C47&amp;Customers_0!D47)),
          ISNUMBER(SEARCH("gekündigt",Customers_0!C47&amp;Customers_0!D47)),
          ISNUMBER(SEARCH("rente",LOWER(Customers_0!C47&amp;Customers_0!D47)))),
   "INACTIVE",
   "ACTIVE")</f>
        <v>INACTIVE</v>
      </c>
      <c r="O47" t="str">
        <f t="shared" si="3"/>
        <v>OK</v>
      </c>
    </row>
    <row r="48" spans="1:15" x14ac:dyDescent="0.2">
      <c r="A48">
        <f>Customers_0!A48</f>
        <v>20375</v>
      </c>
      <c r="B48" t="str">
        <f>IFERROR(MID(Customers_0!B48,1,SEARCH(",",Customers_0!B48)-1),Customers_0!B48)</f>
        <v>Dr. Schlegel/Bangert</v>
      </c>
      <c r="C48" t="str">
        <f t="shared" si="0"/>
        <v>Dr.</v>
      </c>
      <c r="D48" t="str">
        <f t="shared" si="1"/>
        <v/>
      </c>
      <c r="E48" t="str">
        <f t="shared" si="2"/>
        <v>Schlegel/Bangert</v>
      </c>
      <c r="N48" t="str">
        <f>IF(OR(ISNUMBER(SEARCH("weg",[1]Tabelle1!C48&amp;Customers_0!D48)),
          ISNUMBER(SEARCH("gekündigt",Customers_0!C48&amp;Customers_0!D48)),
          ISNUMBER(SEARCH("rente",LOWER(Customers_0!C48&amp;Customers_0!D48)))),
   "INACTIVE",
   "ACTIVE")</f>
        <v>INACTIVE</v>
      </c>
      <c r="O48" t="str">
        <f t="shared" si="3"/>
        <v>PRÜFEN</v>
      </c>
    </row>
    <row r="49" spans="1:15" x14ac:dyDescent="0.2">
      <c r="A49">
        <f>Customers_0!A49</f>
        <v>20376</v>
      </c>
      <c r="B49" t="str">
        <f>IFERROR(MID(Customers_0!B49,1,SEARCH(",",Customers_0!B49)-1),Customers_0!B49)</f>
        <v>Dres. Leitritz</v>
      </c>
      <c r="C49" t="str">
        <f t="shared" si="0"/>
        <v>Dres.</v>
      </c>
      <c r="D49" t="str">
        <f t="shared" si="1"/>
        <v/>
      </c>
      <c r="E49" t="str">
        <f t="shared" si="2"/>
        <v>Leitritz</v>
      </c>
      <c r="N49" t="str">
        <f>IF(OR(ISNUMBER(SEARCH("weg",[1]Tabelle1!C49&amp;Customers_0!D49)),
          ISNUMBER(SEARCH("gekündigt",Customers_0!C49&amp;Customers_0!D49)),
          ISNUMBER(SEARCH("rente",LOWER(Customers_0!C49&amp;Customers_0!D49)))),
   "INACTIVE",
   "ACTIVE")</f>
        <v>ACTIVE</v>
      </c>
      <c r="O49" t="str">
        <f t="shared" si="3"/>
        <v>OK</v>
      </c>
    </row>
    <row r="50" spans="1:15" x14ac:dyDescent="0.2">
      <c r="A50">
        <f>Customers_0!A50</f>
        <v>20380</v>
      </c>
      <c r="B50" t="str">
        <f>IFERROR(MID(Customers_0!B50,1,SEARCH(",",Customers_0!B50)-1),Customers_0!B50)</f>
        <v>R.Kaiser HNO</v>
      </c>
      <c r="C50" t="str">
        <f t="shared" si="0"/>
        <v/>
      </c>
      <c r="D50" t="str">
        <f t="shared" si="1"/>
        <v/>
      </c>
      <c r="E50" t="str">
        <f t="shared" si="2"/>
        <v>R.Kaiser HNO</v>
      </c>
      <c r="N50" t="str">
        <f>IF(OR(ISNUMBER(SEARCH("weg",[1]Tabelle1!C50&amp;Customers_0!D50)),
          ISNUMBER(SEARCH("gekündigt",Customers_0!C50&amp;Customers_0!D50)),
          ISNUMBER(SEARCH("rente",LOWER(Customers_0!C50&amp;Customers_0!D50)))),
   "INACTIVE",
   "ACTIVE")</f>
        <v>ACTIVE</v>
      </c>
      <c r="O50" t="str">
        <f t="shared" si="3"/>
        <v>OK</v>
      </c>
    </row>
    <row r="51" spans="1:15" x14ac:dyDescent="0.2">
      <c r="A51">
        <f>Customers_0!A51</f>
        <v>20383</v>
      </c>
      <c r="B51" t="str">
        <f>IFERROR(MID(Customers_0!B51,1,SEARCH(",",Customers_0!B51)-1),Customers_0!B51)</f>
        <v>Stetter-Schroth</v>
      </c>
      <c r="C51" t="str">
        <f t="shared" si="0"/>
        <v/>
      </c>
      <c r="D51" t="str">
        <f t="shared" si="1"/>
        <v/>
      </c>
      <c r="E51" t="str">
        <f t="shared" si="2"/>
        <v>Stetter-Schroth</v>
      </c>
      <c r="N51" t="str">
        <f>IF(OR(ISNUMBER(SEARCH("weg",[1]Tabelle1!C51&amp;Customers_0!D51)),
          ISNUMBER(SEARCH("gekündigt",Customers_0!C51&amp;Customers_0!D51)),
          ISNUMBER(SEARCH("rente",LOWER(Customers_0!C51&amp;Customers_0!D51)))),
   "INACTIVE",
   "ACTIVE")</f>
        <v>ACTIVE</v>
      </c>
      <c r="O51" t="str">
        <f t="shared" si="3"/>
        <v>PRÜFEN</v>
      </c>
    </row>
    <row r="52" spans="1:15" x14ac:dyDescent="0.2">
      <c r="A52">
        <f>Customers_0!A52</f>
        <v>20384</v>
      </c>
      <c r="B52" t="str">
        <f>IFERROR(MID(Customers_0!B52,1,SEARCH(",",Customers_0!B52)-1),Customers_0!B52)</f>
        <v>Dr. Naschold</v>
      </c>
      <c r="C52" t="str">
        <f t="shared" si="0"/>
        <v>Dr.</v>
      </c>
      <c r="D52" t="str">
        <f t="shared" si="1"/>
        <v/>
      </c>
      <c r="E52" t="str">
        <f t="shared" si="2"/>
        <v>Naschold</v>
      </c>
      <c r="N52" t="str">
        <f>IF(OR(ISNUMBER(SEARCH("weg",[1]Tabelle1!C52&amp;Customers_0!D52)),
          ISNUMBER(SEARCH("gekündigt",Customers_0!C52&amp;Customers_0!D52)),
          ISNUMBER(SEARCH("rente",LOWER(Customers_0!C52&amp;Customers_0!D52)))),
   "INACTIVE",
   "ACTIVE")</f>
        <v>ACTIVE</v>
      </c>
      <c r="O52" t="str">
        <f t="shared" si="3"/>
        <v>OK</v>
      </c>
    </row>
    <row r="53" spans="1:15" x14ac:dyDescent="0.2">
      <c r="A53">
        <f>Customers_0!A53</f>
        <v>20385</v>
      </c>
      <c r="B53" t="str">
        <f>IFERROR(MID(Customers_0!B53,1,SEARCH(",",Customers_0!B53)-1),Customers_0!B53)</f>
        <v>Dr. Groß</v>
      </c>
      <c r="C53" t="str">
        <f t="shared" si="0"/>
        <v>Dr.</v>
      </c>
      <c r="D53" t="str">
        <f t="shared" si="1"/>
        <v/>
      </c>
      <c r="E53" t="str">
        <f t="shared" si="2"/>
        <v>Groß</v>
      </c>
      <c r="N53" t="str">
        <f>IF(OR(ISNUMBER(SEARCH("weg",[1]Tabelle1!C53&amp;Customers_0!D53)),
          ISNUMBER(SEARCH("gekündigt",Customers_0!C53&amp;Customers_0!D53)),
          ISNUMBER(SEARCH("rente",LOWER(Customers_0!C53&amp;Customers_0!D53)))),
   "INACTIVE",
   "ACTIVE")</f>
        <v>ACTIVE</v>
      </c>
      <c r="O53" t="str">
        <f t="shared" si="3"/>
        <v>OK</v>
      </c>
    </row>
    <row r="54" spans="1:15" x14ac:dyDescent="0.2">
      <c r="A54">
        <f>Customers_0!A54</f>
        <v>20386</v>
      </c>
      <c r="B54" t="str">
        <f>IFERROR(MID(Customers_0!B54,1,SEARCH(",",Customers_0!B54)-1),Customers_0!B54)</f>
        <v>Dr.Kiefer</v>
      </c>
      <c r="C54" t="str">
        <f t="shared" si="0"/>
        <v/>
      </c>
      <c r="D54" t="str">
        <f t="shared" si="1"/>
        <v/>
      </c>
      <c r="E54" t="str">
        <f t="shared" si="2"/>
        <v>Dr.Kiefer</v>
      </c>
      <c r="N54" t="str">
        <f>IF(OR(ISNUMBER(SEARCH("weg",[1]Tabelle1!C54&amp;Customers_0!D54)),
          ISNUMBER(SEARCH("gekündigt",Customers_0!C54&amp;Customers_0!D54)),
          ISNUMBER(SEARCH("rente",LOWER(Customers_0!C54&amp;Customers_0!D54)))),
   "INACTIVE",
   "ACTIVE")</f>
        <v>ACTIVE</v>
      </c>
      <c r="O54" t="str">
        <f t="shared" si="3"/>
        <v>OK</v>
      </c>
    </row>
    <row r="55" spans="1:15" x14ac:dyDescent="0.2">
      <c r="A55">
        <f>Customers_0!A55</f>
        <v>20387</v>
      </c>
      <c r="B55" t="str">
        <f>IFERROR(MID(Customers_0!B55,1,SEARCH(",",Customers_0!B55)-1),Customers_0!B55)</f>
        <v>Dr. Wörz</v>
      </c>
      <c r="C55" t="str">
        <f t="shared" si="0"/>
        <v>Dr.</v>
      </c>
      <c r="D55" t="str">
        <f t="shared" si="1"/>
        <v/>
      </c>
      <c r="E55" t="str">
        <f t="shared" si="2"/>
        <v>Wörz</v>
      </c>
      <c r="N55" t="str">
        <f>IF(OR(ISNUMBER(SEARCH("weg",[1]Tabelle1!C55&amp;Customers_0!D55)),
          ISNUMBER(SEARCH("gekündigt",Customers_0!C55&amp;Customers_0!D55)),
          ISNUMBER(SEARCH("rente",LOWER(Customers_0!C55&amp;Customers_0!D55)))),
   "INACTIVE",
   "ACTIVE")</f>
        <v>INACTIVE</v>
      </c>
      <c r="O55" t="str">
        <f t="shared" si="3"/>
        <v>OK</v>
      </c>
    </row>
    <row r="56" spans="1:15" x14ac:dyDescent="0.2">
      <c r="A56">
        <f>Customers_0!A56</f>
        <v>20392</v>
      </c>
      <c r="B56" t="str">
        <f>IFERROR(MID(Customers_0!B56,1,SEARCH(",",Customers_0!B56)-1),Customers_0!B56)</f>
        <v>Dr. Rosenstein</v>
      </c>
      <c r="C56" t="str">
        <f t="shared" si="0"/>
        <v>Dr.</v>
      </c>
      <c r="D56" t="str">
        <f t="shared" si="1"/>
        <v/>
      </c>
      <c r="E56" t="str">
        <f t="shared" si="2"/>
        <v>Rosenstein</v>
      </c>
      <c r="N56" t="str">
        <f>IF(OR(ISNUMBER(SEARCH("weg",[1]Tabelle1!C56&amp;Customers_0!D56)),
          ISNUMBER(SEARCH("gekündigt",Customers_0!C56&amp;Customers_0!D56)),
          ISNUMBER(SEARCH("rente",LOWER(Customers_0!C56&amp;Customers_0!D56)))),
   "INACTIVE",
   "ACTIVE")</f>
        <v>INACTIVE</v>
      </c>
      <c r="O56" t="str">
        <f t="shared" si="3"/>
        <v>OK</v>
      </c>
    </row>
    <row r="57" spans="1:15" x14ac:dyDescent="0.2">
      <c r="A57">
        <f>Customers_0!A57</f>
        <v>20394</v>
      </c>
      <c r="B57" t="str">
        <f>IFERROR(MID(Customers_0!B57,1,SEARCH(",",Customers_0!B57)-1),Customers_0!B57)</f>
        <v>Ramm</v>
      </c>
      <c r="C57" t="str">
        <f t="shared" si="0"/>
        <v/>
      </c>
      <c r="D57" t="str">
        <f t="shared" si="1"/>
        <v/>
      </c>
      <c r="E57" t="str">
        <f t="shared" si="2"/>
        <v>Ramm</v>
      </c>
      <c r="N57" t="str">
        <f>IF(OR(ISNUMBER(SEARCH("weg",[1]Tabelle1!C57&amp;Customers_0!D57)),
          ISNUMBER(SEARCH("gekündigt",Customers_0!C57&amp;Customers_0!D57)),
          ISNUMBER(SEARCH("rente",LOWER(Customers_0!C57&amp;Customers_0!D57)))),
   "INACTIVE",
   "ACTIVE")</f>
        <v>ACTIVE</v>
      </c>
      <c r="O57" t="str">
        <f t="shared" si="3"/>
        <v>OK</v>
      </c>
    </row>
    <row r="58" spans="1:15" x14ac:dyDescent="0.2">
      <c r="A58">
        <f>Customers_0!A58</f>
        <v>20398</v>
      </c>
      <c r="B58" t="str">
        <f>IFERROR(MID(Customers_0!B58,1,SEARCH(",",Customers_0!B58)-1),Customers_0!B58)</f>
        <v>Dr. Steck/ Kraus</v>
      </c>
      <c r="C58" t="str">
        <f t="shared" si="0"/>
        <v>Dr.</v>
      </c>
      <c r="D58" t="str">
        <f t="shared" si="1"/>
        <v/>
      </c>
      <c r="E58" t="str">
        <f t="shared" si="2"/>
        <v>Steck/ Kraus</v>
      </c>
      <c r="N58" t="str">
        <f>IF(OR(ISNUMBER(SEARCH("weg",[1]Tabelle1!C58&amp;Customers_0!D58)),
          ISNUMBER(SEARCH("gekündigt",Customers_0!C58&amp;Customers_0!D58)),
          ISNUMBER(SEARCH("rente",LOWER(Customers_0!C58&amp;Customers_0!D58)))),
   "INACTIVE",
   "ACTIVE")</f>
        <v>ACTIVE</v>
      </c>
      <c r="O58" t="str">
        <f t="shared" si="3"/>
        <v>PRÜFEN</v>
      </c>
    </row>
    <row r="59" spans="1:15" x14ac:dyDescent="0.2">
      <c r="A59">
        <f>Customers_0!A59</f>
        <v>20401</v>
      </c>
      <c r="B59" t="str">
        <f>IFERROR(MID(Customers_0!B59,1,SEARCH(",",Customers_0!B59)-1),Customers_0!B59)</f>
        <v>v.d.Haar/ Dr. Bergner</v>
      </c>
      <c r="C59" t="str">
        <f t="shared" si="0"/>
        <v/>
      </c>
      <c r="D59" t="str">
        <f t="shared" si="1"/>
        <v/>
      </c>
      <c r="E59" t="str">
        <f t="shared" si="2"/>
        <v>v.d.Haar/ Dr. Bergner</v>
      </c>
      <c r="N59" t="str">
        <f>IF(OR(ISNUMBER(SEARCH("weg",[1]Tabelle1!C59&amp;Customers_0!D59)),
          ISNUMBER(SEARCH("gekündigt",Customers_0!C59&amp;Customers_0!D59)),
          ISNUMBER(SEARCH("rente",LOWER(Customers_0!C59&amp;Customers_0!D59)))),
   "INACTIVE",
   "ACTIVE")</f>
        <v>ACTIVE</v>
      </c>
      <c r="O59" t="str">
        <f t="shared" si="3"/>
        <v>PRÜFEN</v>
      </c>
    </row>
    <row r="60" spans="1:15" x14ac:dyDescent="0.2">
      <c r="A60">
        <f>Customers_0!A60</f>
        <v>20404</v>
      </c>
      <c r="B60" t="str">
        <f>IFERROR(MID(Customers_0!B60,1,SEARCH(",",Customers_0!B60)-1),Customers_0!B60)</f>
        <v>Dr. Czempiel</v>
      </c>
      <c r="C60" t="str">
        <f t="shared" si="0"/>
        <v>Dr.</v>
      </c>
      <c r="D60" t="str">
        <f t="shared" si="1"/>
        <v/>
      </c>
      <c r="E60" t="str">
        <f t="shared" si="2"/>
        <v>Czempiel</v>
      </c>
      <c r="N60" t="str">
        <f>IF(OR(ISNUMBER(SEARCH("weg",[1]Tabelle1!C60&amp;Customers_0!D60)),
          ISNUMBER(SEARCH("gekündigt",Customers_0!C60&amp;Customers_0!D60)),
          ISNUMBER(SEARCH("rente",LOWER(Customers_0!C60&amp;Customers_0!D60)))),
   "INACTIVE",
   "ACTIVE")</f>
        <v>ACTIVE</v>
      </c>
      <c r="O60" t="str">
        <f t="shared" si="3"/>
        <v>OK</v>
      </c>
    </row>
    <row r="61" spans="1:15" x14ac:dyDescent="0.2">
      <c r="A61">
        <f>Customers_0!A61</f>
        <v>20405</v>
      </c>
      <c r="B61" t="str">
        <f>IFERROR(MID(Customers_0!B61,1,SEARCH(",",Customers_0!B61)-1),Customers_0!B61)</f>
        <v>Dr. Hillebrandt</v>
      </c>
      <c r="C61" t="str">
        <f t="shared" si="0"/>
        <v>Dr.</v>
      </c>
      <c r="D61" t="str">
        <f t="shared" si="1"/>
        <v/>
      </c>
      <c r="E61" t="str">
        <f t="shared" si="2"/>
        <v>Hillebrandt</v>
      </c>
      <c r="N61" t="str">
        <f>IF(OR(ISNUMBER(SEARCH("weg",[1]Tabelle1!C61&amp;Customers_0!D61)),
          ISNUMBER(SEARCH("gekündigt",Customers_0!C61&amp;Customers_0!D61)),
          ISNUMBER(SEARCH("rente",LOWER(Customers_0!C61&amp;Customers_0!D61)))),
   "INACTIVE",
   "ACTIVE")</f>
        <v>INACTIVE</v>
      </c>
      <c r="O61" t="str">
        <f t="shared" si="3"/>
        <v>OK</v>
      </c>
    </row>
    <row r="62" spans="1:15" x14ac:dyDescent="0.2">
      <c r="A62">
        <f>Customers_0!A62</f>
        <v>20406</v>
      </c>
      <c r="B62" t="str">
        <f>IFERROR(MID(Customers_0!B62,1,SEARCH(",",Customers_0!B62)-1),Customers_0!B62)</f>
        <v>Dres. Erichsen&amp;Koll.</v>
      </c>
      <c r="C62" t="str">
        <f t="shared" si="0"/>
        <v>Dres.</v>
      </c>
      <c r="D62" t="str">
        <f t="shared" si="1"/>
        <v/>
      </c>
      <c r="E62" t="str">
        <f t="shared" si="2"/>
        <v>Erichsen&amp;Koll.</v>
      </c>
      <c r="N62" t="str">
        <f>IF(OR(ISNUMBER(SEARCH("weg",[1]Tabelle1!C62&amp;Customers_0!D62)),
          ISNUMBER(SEARCH("gekündigt",Customers_0!C62&amp;Customers_0!D62)),
          ISNUMBER(SEARCH("rente",LOWER(Customers_0!C62&amp;Customers_0!D62)))),
   "INACTIVE",
   "ACTIVE")</f>
        <v>ACTIVE</v>
      </c>
      <c r="O62" t="str">
        <f t="shared" si="3"/>
        <v>OK</v>
      </c>
    </row>
    <row r="63" spans="1:15" x14ac:dyDescent="0.2">
      <c r="A63">
        <f>Customers_0!A63</f>
        <v>20407</v>
      </c>
      <c r="B63" t="str">
        <f>IFERROR(MID(Customers_0!B63,1,SEARCH(",",Customers_0!B63)-1),Customers_0!B63)</f>
        <v>Dr. Schubert</v>
      </c>
      <c r="C63" t="str">
        <f t="shared" si="0"/>
        <v>Dr.</v>
      </c>
      <c r="D63" t="str">
        <f t="shared" si="1"/>
        <v/>
      </c>
      <c r="E63" t="str">
        <f t="shared" si="2"/>
        <v>Schubert</v>
      </c>
      <c r="N63" t="str">
        <f>IF(OR(ISNUMBER(SEARCH("weg",[1]Tabelle1!C63&amp;Customers_0!D63)),
          ISNUMBER(SEARCH("gekündigt",Customers_0!C63&amp;Customers_0!D63)),
          ISNUMBER(SEARCH("rente",LOWER(Customers_0!C63&amp;Customers_0!D63)))),
   "INACTIVE",
   "ACTIVE")</f>
        <v>ACTIVE</v>
      </c>
      <c r="O63" t="str">
        <f t="shared" si="3"/>
        <v>OK</v>
      </c>
    </row>
    <row r="64" spans="1:15" x14ac:dyDescent="0.2">
      <c r="A64">
        <f>Customers_0!A64</f>
        <v>20412</v>
      </c>
      <c r="B64" t="str">
        <f>IFERROR(MID(Customers_0!B64,1,SEARCH(",",Customers_0!B64)-1),Customers_0!B64)</f>
        <v>Dres.Diesch/Neusser/Miller</v>
      </c>
      <c r="C64" t="str">
        <f t="shared" si="0"/>
        <v/>
      </c>
      <c r="D64" t="str">
        <f t="shared" si="1"/>
        <v/>
      </c>
      <c r="E64" t="str">
        <f t="shared" si="2"/>
        <v>Dres.Diesch/Neusser/Miller</v>
      </c>
      <c r="N64" t="str">
        <f>IF(OR(ISNUMBER(SEARCH("weg",[1]Tabelle1!C64&amp;Customers_0!D64)),
          ISNUMBER(SEARCH("gekündigt",Customers_0!C64&amp;Customers_0!D64)),
          ISNUMBER(SEARCH("rente",LOWER(Customers_0!C64&amp;Customers_0!D64)))),
   "INACTIVE",
   "ACTIVE")</f>
        <v>ACTIVE</v>
      </c>
      <c r="O64" t="str">
        <f t="shared" si="3"/>
        <v>PRÜFEN</v>
      </c>
    </row>
    <row r="65" spans="1:15" x14ac:dyDescent="0.2">
      <c r="A65">
        <f>Customers_0!A65</f>
        <v>20413</v>
      </c>
      <c r="B65" t="str">
        <f>IFERROR(MID(Customers_0!B65,1,SEARCH(",",Customers_0!B65)-1),Customers_0!B65)</f>
        <v>Dr. Rettig</v>
      </c>
      <c r="C65" t="str">
        <f t="shared" si="0"/>
        <v>Dr.</v>
      </c>
      <c r="D65" t="str">
        <f t="shared" si="1"/>
        <v/>
      </c>
      <c r="E65" t="str">
        <f t="shared" si="2"/>
        <v>Rettig</v>
      </c>
      <c r="N65" t="str">
        <f>IF(OR(ISNUMBER(SEARCH("weg",[1]Tabelle1!C65&amp;Customers_0!D65)),
          ISNUMBER(SEARCH("gekündigt",Customers_0!C65&amp;Customers_0!D65)),
          ISNUMBER(SEARCH("rente",LOWER(Customers_0!C65&amp;Customers_0!D65)))),
   "INACTIVE",
   "ACTIVE")</f>
        <v>ACTIVE</v>
      </c>
      <c r="O65" t="str">
        <f t="shared" si="3"/>
        <v>OK</v>
      </c>
    </row>
    <row r="66" spans="1:15" x14ac:dyDescent="0.2">
      <c r="A66">
        <f>Customers_0!A66</f>
        <v>20416</v>
      </c>
      <c r="B66" t="str">
        <f>IFERROR(MID(Customers_0!B66,1,SEARCH(",",Customers_0!B66)-1),Customers_0!B66)</f>
        <v>Dr. Niewerth</v>
      </c>
      <c r="C66" t="str">
        <f t="shared" ref="C66:C129" si="4">IFERROR(
 IF(OR(
   LEFT(B66,3)="Dr.",
   LEFT(B66,2)="Dr",
   LEFT(B66,4)="Dres",
   LEFT(B66,5)="Dres.",
   LEFT(B66,4)="Prof",
   LEFT(B66,5)="Prof.",
   LEFT(B66,3)="PD ",
   LEFT(B66,7)="Priv.-D"
 ),
  LEFT(B66,SEARCH(" ",B66)-1),
  ""
 ),
"")</f>
        <v>Dr.</v>
      </c>
      <c r="D66" t="str">
        <f t="shared" ref="D66:D129" si="5">IFERROR(
 IF(C66="",
  "",
  IF(ISNUMBER(SEARCH(".",MID(B66,LEN(C66)+2,3))),
    MID(B66,LEN(C66)+2,2),
    ""
  )
 ),
"")</f>
        <v/>
      </c>
      <c r="E66" t="str">
        <f t="shared" ref="E66:E129" si="6">IFERROR(
 TRIM(
   IF(C66="",
        IF(ISNUMBER(SEARCH(",",B66)), LEFT(B66,SEARCH(",",B66)-1), B66),
        IF(D66="",
             TRIM(MID(B66, LEN(C66)+2, 999)),
             TRIM(MID(B66, LEN(C66&amp;" "&amp;D66)+2, 999))
        )
   )
 ),
""
)</f>
        <v>Niewerth</v>
      </c>
      <c r="N66" t="str">
        <f>IF(OR(ISNUMBER(SEARCH("weg",[1]Tabelle1!C66&amp;Customers_0!D66)),
          ISNUMBER(SEARCH("gekündigt",Customers_0!C66&amp;Customers_0!D66)),
          ISNUMBER(SEARCH("rente",LOWER(Customers_0!C66&amp;Customers_0!D66)))),
   "INACTIVE",
   "ACTIVE")</f>
        <v>ACTIVE</v>
      </c>
      <c r="O66" t="str">
        <f t="shared" ref="O66:O129" si="7">IF(OR(
   ISERROR(D66),
   ISERROR(E66),
   ISNUMBER(SEARCH("/",E66)),
   ISNUMBER(SEARCH("-",E66))
 ),"PRÜFEN","OK")</f>
        <v>OK</v>
      </c>
    </row>
    <row r="67" spans="1:15" x14ac:dyDescent="0.2">
      <c r="A67">
        <f>Customers_0!A67</f>
        <v>20417</v>
      </c>
      <c r="B67" t="str">
        <f>IFERROR(MID(Customers_0!B67,1,SEARCH(",",Customers_0!B67)-1),Customers_0!B67)</f>
        <v>Dres. Öncü</v>
      </c>
      <c r="C67" t="str">
        <f t="shared" si="4"/>
        <v>Dres.</v>
      </c>
      <c r="D67" t="str">
        <f t="shared" si="5"/>
        <v/>
      </c>
      <c r="E67" t="str">
        <f t="shared" si="6"/>
        <v>Öncü</v>
      </c>
      <c r="N67" t="str">
        <f>IF(OR(ISNUMBER(SEARCH("weg",[1]Tabelle1!C67&amp;Customers_0!D67)),
          ISNUMBER(SEARCH("gekündigt",Customers_0!C67&amp;Customers_0!D67)),
          ISNUMBER(SEARCH("rente",LOWER(Customers_0!C67&amp;Customers_0!D67)))),
   "INACTIVE",
   "ACTIVE")</f>
        <v>ACTIVE</v>
      </c>
      <c r="O67" t="str">
        <f t="shared" si="7"/>
        <v>OK</v>
      </c>
    </row>
    <row r="68" spans="1:15" x14ac:dyDescent="0.2">
      <c r="A68">
        <f>Customers_0!A68</f>
        <v>20419</v>
      </c>
      <c r="B68" t="str">
        <f>IFERROR(MID(Customers_0!B68,1,SEARCH(",",Customers_0!B68)-1),Customers_0!B68)</f>
        <v>MVZ Nephrologie</v>
      </c>
      <c r="C68" t="str">
        <f t="shared" si="4"/>
        <v/>
      </c>
      <c r="D68" t="str">
        <f t="shared" si="5"/>
        <v/>
      </c>
      <c r="E68" t="str">
        <f t="shared" si="6"/>
        <v>MVZ Nephrologie</v>
      </c>
      <c r="N68" t="str">
        <f>IF(OR(ISNUMBER(SEARCH("weg",[1]Tabelle1!C68&amp;Customers_0!D68)),
          ISNUMBER(SEARCH("gekündigt",Customers_0!C68&amp;Customers_0!D68)),
          ISNUMBER(SEARCH("rente",LOWER(Customers_0!C68&amp;Customers_0!D68)))),
   "INACTIVE",
   "ACTIVE")</f>
        <v>ACTIVE</v>
      </c>
      <c r="O68" t="str">
        <f t="shared" si="7"/>
        <v>OK</v>
      </c>
    </row>
    <row r="69" spans="1:15" x14ac:dyDescent="0.2">
      <c r="A69">
        <f>Customers_0!A69</f>
        <v>20420</v>
      </c>
      <c r="B69" t="str">
        <f>IFERROR(MID(Customers_0!B69,1,SEARCH(",",Customers_0!B69)-1),Customers_0!B69)</f>
        <v>Dr. Tegtmeier</v>
      </c>
      <c r="C69" t="str">
        <f t="shared" si="4"/>
        <v>Dr.</v>
      </c>
      <c r="D69" t="str">
        <f t="shared" si="5"/>
        <v/>
      </c>
      <c r="E69" t="str">
        <f t="shared" si="6"/>
        <v>Tegtmeier</v>
      </c>
      <c r="N69" t="str">
        <f>IF(OR(ISNUMBER(SEARCH("weg",[1]Tabelle1!C69&amp;Customers_0!D69)),
          ISNUMBER(SEARCH("gekündigt",Customers_0!C69&amp;Customers_0!D69)),
          ISNUMBER(SEARCH("rente",LOWER(Customers_0!C69&amp;Customers_0!D69)))),
   "INACTIVE",
   "ACTIVE")</f>
        <v>INACTIVE</v>
      </c>
      <c r="O69" t="str">
        <f t="shared" si="7"/>
        <v>OK</v>
      </c>
    </row>
    <row r="70" spans="1:15" x14ac:dyDescent="0.2">
      <c r="A70">
        <f>Customers_0!A70</f>
        <v>20421</v>
      </c>
      <c r="B70" t="str">
        <f>IFERROR(MID(Customers_0!B70,1,SEARCH(",",Customers_0!B70)-1),Customers_0!B70)</f>
        <v>Dr. Gabert/Fuchs</v>
      </c>
      <c r="C70" t="str">
        <f t="shared" si="4"/>
        <v>Dr.</v>
      </c>
      <c r="D70" t="str">
        <f t="shared" si="5"/>
        <v/>
      </c>
      <c r="E70" t="str">
        <f t="shared" si="6"/>
        <v>Gabert/Fuchs</v>
      </c>
      <c r="N70" t="str">
        <f>IF(OR(ISNUMBER(SEARCH("weg",[1]Tabelle1!C70&amp;Customers_0!D70)),
          ISNUMBER(SEARCH("gekündigt",Customers_0!C70&amp;Customers_0!D70)),
          ISNUMBER(SEARCH("rente",LOWER(Customers_0!C70&amp;Customers_0!D70)))),
   "INACTIVE",
   "ACTIVE")</f>
        <v>ACTIVE</v>
      </c>
      <c r="O70" t="str">
        <f t="shared" si="7"/>
        <v>PRÜFEN</v>
      </c>
    </row>
    <row r="71" spans="1:15" x14ac:dyDescent="0.2">
      <c r="A71">
        <f>Customers_0!A71</f>
        <v>20424</v>
      </c>
      <c r="B71" t="str">
        <f>IFERROR(MID(Customers_0!B71,1,SEARCH(",",Customers_0!B71)-1),Customers_0!B71)</f>
        <v>Dr.Helfrich</v>
      </c>
      <c r="C71" t="str">
        <f t="shared" si="4"/>
        <v/>
      </c>
      <c r="D71" t="str">
        <f t="shared" si="5"/>
        <v/>
      </c>
      <c r="E71" t="str">
        <f t="shared" si="6"/>
        <v>Dr.Helfrich</v>
      </c>
      <c r="N71" t="str">
        <f>IF(OR(ISNUMBER(SEARCH("weg",[1]Tabelle1!C71&amp;Customers_0!D71)),
          ISNUMBER(SEARCH("gekündigt",Customers_0!C71&amp;Customers_0!D71)),
          ISNUMBER(SEARCH("rente",LOWER(Customers_0!C71&amp;Customers_0!D71)))),
   "INACTIVE",
   "ACTIVE")</f>
        <v>ACTIVE</v>
      </c>
      <c r="O71" t="str">
        <f t="shared" si="7"/>
        <v>OK</v>
      </c>
    </row>
    <row r="72" spans="1:15" x14ac:dyDescent="0.2">
      <c r="A72">
        <f>Customers_0!A72</f>
        <v>20433</v>
      </c>
      <c r="B72" t="str">
        <f>IFERROR(MID(Customers_0!B72,1,SEARCH(",",Customers_0!B72)-1),Customers_0!B72)</f>
        <v>Dres. Küther</v>
      </c>
      <c r="C72" t="str">
        <f t="shared" si="4"/>
        <v>Dres.</v>
      </c>
      <c r="D72" t="str">
        <f t="shared" si="5"/>
        <v/>
      </c>
      <c r="E72" t="str">
        <f t="shared" si="6"/>
        <v>Küther</v>
      </c>
      <c r="N72" t="str">
        <f>IF(OR(ISNUMBER(SEARCH("weg",[1]Tabelle1!C72&amp;Customers_0!D72)),
          ISNUMBER(SEARCH("gekündigt",Customers_0!C72&amp;Customers_0!D72)),
          ISNUMBER(SEARCH("rente",LOWER(Customers_0!C72&amp;Customers_0!D72)))),
   "INACTIVE",
   "ACTIVE")</f>
        <v>ACTIVE</v>
      </c>
      <c r="O72" t="str">
        <f t="shared" si="7"/>
        <v>OK</v>
      </c>
    </row>
    <row r="73" spans="1:15" x14ac:dyDescent="0.2">
      <c r="A73">
        <f>Customers_0!A73</f>
        <v>20435</v>
      </c>
      <c r="B73" t="str">
        <f>IFERROR(MID(Customers_0!B73,1,SEARCH(",",Customers_0!B73)-1),Customers_0!B73)</f>
        <v>Dr. Schwiethal/Brüderdorf</v>
      </c>
      <c r="C73" t="str">
        <f t="shared" si="4"/>
        <v>Dr.</v>
      </c>
      <c r="D73" t="str">
        <f t="shared" si="5"/>
        <v/>
      </c>
      <c r="E73" t="str">
        <f t="shared" si="6"/>
        <v>Schwiethal/Brüderdorf</v>
      </c>
      <c r="N73" t="str">
        <f>IF(OR(ISNUMBER(SEARCH("weg",[1]Tabelle1!C73&amp;Customers_0!D73)),
          ISNUMBER(SEARCH("gekündigt",Customers_0!C73&amp;Customers_0!D73)),
          ISNUMBER(SEARCH("rente",LOWER(Customers_0!C73&amp;Customers_0!D73)))),
   "INACTIVE",
   "ACTIVE")</f>
        <v>ACTIVE</v>
      </c>
      <c r="O73" t="str">
        <f t="shared" si="7"/>
        <v>PRÜFEN</v>
      </c>
    </row>
    <row r="74" spans="1:15" x14ac:dyDescent="0.2">
      <c r="A74">
        <f>Customers_0!A74</f>
        <v>20436</v>
      </c>
      <c r="B74" t="str">
        <f>IFERROR(MID(Customers_0!B74,1,SEARCH(",",Customers_0!B74)-1),Customers_0!B74)</f>
        <v>Dr.Dirksen</v>
      </c>
      <c r="C74" t="str">
        <f t="shared" si="4"/>
        <v/>
      </c>
      <c r="D74" t="str">
        <f t="shared" si="5"/>
        <v/>
      </c>
      <c r="E74" t="str">
        <f t="shared" si="6"/>
        <v>Dr.Dirksen</v>
      </c>
      <c r="N74" t="str">
        <f>IF(OR(ISNUMBER(SEARCH("weg",[1]Tabelle1!C74&amp;Customers_0!D74)),
          ISNUMBER(SEARCH("gekündigt",Customers_0!C74&amp;Customers_0!D74)),
          ISNUMBER(SEARCH("rente",LOWER(Customers_0!C74&amp;Customers_0!D74)))),
   "INACTIVE",
   "ACTIVE")</f>
        <v>ACTIVE</v>
      </c>
      <c r="O74" t="str">
        <f t="shared" si="7"/>
        <v>OK</v>
      </c>
    </row>
    <row r="75" spans="1:15" x14ac:dyDescent="0.2">
      <c r="A75">
        <f>Customers_0!A75</f>
        <v>20440</v>
      </c>
      <c r="B75" t="str">
        <f>IFERROR(MID(Customers_0!B75,1,SEARCH(",",Customers_0!B75)-1),Customers_0!B75)</f>
        <v>Dres.Kahrs/ Kuba</v>
      </c>
      <c r="C75" t="str">
        <f t="shared" si="4"/>
        <v>Dres.Kahrs/</v>
      </c>
      <c r="D75" t="str">
        <f t="shared" si="5"/>
        <v/>
      </c>
      <c r="E75" t="str">
        <f t="shared" si="6"/>
        <v>Kuba</v>
      </c>
      <c r="N75" t="str">
        <f>IF(OR(ISNUMBER(SEARCH("weg",[1]Tabelle1!C75&amp;Customers_0!D75)),
          ISNUMBER(SEARCH("gekündigt",Customers_0!C75&amp;Customers_0!D75)),
          ISNUMBER(SEARCH("rente",LOWER(Customers_0!C75&amp;Customers_0!D75)))),
   "INACTIVE",
   "ACTIVE")</f>
        <v>ACTIVE</v>
      </c>
      <c r="O75" t="str">
        <f t="shared" si="7"/>
        <v>OK</v>
      </c>
    </row>
    <row r="76" spans="1:15" x14ac:dyDescent="0.2">
      <c r="A76">
        <f>Customers_0!A76</f>
        <v>20443</v>
      </c>
      <c r="B76" t="str">
        <f>IFERROR(MID(Customers_0!B76,1,SEARCH(",",Customers_0!B76)-1),Customers_0!B76)</f>
        <v>Dr. Pflanzagl</v>
      </c>
      <c r="C76" t="str">
        <f t="shared" si="4"/>
        <v>Dr.</v>
      </c>
      <c r="D76" t="str">
        <f t="shared" si="5"/>
        <v/>
      </c>
      <c r="E76" t="str">
        <f t="shared" si="6"/>
        <v>Pflanzagl</v>
      </c>
      <c r="N76" t="str">
        <f>IF(OR(ISNUMBER(SEARCH("weg",[1]Tabelle1!C76&amp;Customers_0!D76)),
          ISNUMBER(SEARCH("gekündigt",Customers_0!C76&amp;Customers_0!D76)),
          ISNUMBER(SEARCH("rente",LOWER(Customers_0!C76&amp;Customers_0!D76)))),
   "INACTIVE",
   "ACTIVE")</f>
        <v>ACTIVE</v>
      </c>
      <c r="O76" t="str">
        <f t="shared" si="7"/>
        <v>OK</v>
      </c>
    </row>
    <row r="77" spans="1:15" x14ac:dyDescent="0.2">
      <c r="A77">
        <f>Customers_0!A77</f>
        <v>20444</v>
      </c>
      <c r="B77" t="str">
        <f>IFERROR(MID(Customers_0!B77,1,SEARCH(",",Customers_0!B77)-1),Customers_0!B77)</f>
        <v>Dr. Fürst</v>
      </c>
      <c r="C77" t="str">
        <f t="shared" si="4"/>
        <v>Dr.</v>
      </c>
      <c r="D77" t="str">
        <f t="shared" si="5"/>
        <v/>
      </c>
      <c r="E77" t="str">
        <f t="shared" si="6"/>
        <v>Fürst</v>
      </c>
      <c r="N77" t="str">
        <f>IF(OR(ISNUMBER(SEARCH("weg",[1]Tabelle1!C77&amp;Customers_0!D77)),
          ISNUMBER(SEARCH("gekündigt",Customers_0!C77&amp;Customers_0!D77)),
          ISNUMBER(SEARCH("rente",LOWER(Customers_0!C77&amp;Customers_0!D77)))),
   "INACTIVE",
   "ACTIVE")</f>
        <v>ACTIVE</v>
      </c>
      <c r="O77" t="str">
        <f t="shared" si="7"/>
        <v>OK</v>
      </c>
    </row>
    <row r="78" spans="1:15" x14ac:dyDescent="0.2">
      <c r="A78">
        <f>Customers_0!A78</f>
        <v>20445</v>
      </c>
      <c r="B78" t="str">
        <f>IFERROR(MID(Customers_0!B78,1,SEARCH(",",Customers_0!B78)-1),Customers_0!B78)</f>
        <v>Dr.Ch. Herrmann</v>
      </c>
      <c r="C78" t="str">
        <f t="shared" si="4"/>
        <v>Dr.Ch.</v>
      </c>
      <c r="D78" t="str">
        <f t="shared" si="5"/>
        <v/>
      </c>
      <c r="E78" t="str">
        <f t="shared" si="6"/>
        <v>Herrmann</v>
      </c>
      <c r="N78" t="str">
        <f>IF(OR(ISNUMBER(SEARCH("weg",[1]Tabelle1!C78&amp;Customers_0!D78)),
          ISNUMBER(SEARCH("gekündigt",Customers_0!C78&amp;Customers_0!D78)),
          ISNUMBER(SEARCH("rente",LOWER(Customers_0!C78&amp;Customers_0!D78)))),
   "INACTIVE",
   "ACTIVE")</f>
        <v>ACTIVE</v>
      </c>
      <c r="O78" t="str">
        <f t="shared" si="7"/>
        <v>OK</v>
      </c>
    </row>
    <row r="79" spans="1:15" x14ac:dyDescent="0.2">
      <c r="A79">
        <f>Customers_0!A79</f>
        <v>20446</v>
      </c>
      <c r="B79" t="str">
        <f>IFERROR(MID(Customers_0!B79,1,SEARCH(",",Customers_0!B79)-1),Customers_0!B79)</f>
        <v>Wiese/ Saddahar</v>
      </c>
      <c r="C79" t="str">
        <f t="shared" si="4"/>
        <v/>
      </c>
      <c r="D79" t="str">
        <f t="shared" si="5"/>
        <v/>
      </c>
      <c r="E79" t="str">
        <f t="shared" si="6"/>
        <v>Wiese/ Saddahar</v>
      </c>
      <c r="N79" t="str">
        <f>IF(OR(ISNUMBER(SEARCH("weg",[1]Tabelle1!C79&amp;Customers_0!D79)),
          ISNUMBER(SEARCH("gekündigt",Customers_0!C79&amp;Customers_0!D79)),
          ISNUMBER(SEARCH("rente",LOWER(Customers_0!C79&amp;Customers_0!D79)))),
   "INACTIVE",
   "ACTIVE")</f>
        <v>ACTIVE</v>
      </c>
      <c r="O79" t="str">
        <f t="shared" si="7"/>
        <v>PRÜFEN</v>
      </c>
    </row>
    <row r="80" spans="1:15" x14ac:dyDescent="0.2">
      <c r="A80">
        <f>Customers_0!A80</f>
        <v>20447</v>
      </c>
      <c r="B80" t="str">
        <f>IFERROR(MID(Customers_0!B80,1,SEARCH(",",Customers_0!B80)-1),Customers_0!B80)</f>
        <v>Dr. Kuhn. Bad Wurzach</v>
      </c>
      <c r="C80" t="str">
        <f t="shared" si="4"/>
        <v>Dr.</v>
      </c>
      <c r="D80" t="str">
        <f t="shared" si="5"/>
        <v/>
      </c>
      <c r="E80" t="str">
        <f t="shared" si="6"/>
        <v>Kuhn. Bad Wurzach</v>
      </c>
      <c r="N80" t="str">
        <f>IF(OR(ISNUMBER(SEARCH("weg",[1]Tabelle1!C80&amp;Customers_0!D80)),
          ISNUMBER(SEARCH("gekündigt",Customers_0!C80&amp;Customers_0!D80)),
          ISNUMBER(SEARCH("rente",LOWER(Customers_0!C80&amp;Customers_0!D80)))),
   "INACTIVE",
   "ACTIVE")</f>
        <v>ACTIVE</v>
      </c>
      <c r="O80" t="str">
        <f t="shared" si="7"/>
        <v>OK</v>
      </c>
    </row>
    <row r="81" spans="1:15" x14ac:dyDescent="0.2">
      <c r="A81">
        <f>Customers_0!A81</f>
        <v>20448</v>
      </c>
      <c r="B81" t="str">
        <f>IFERROR(MID(Customers_0!B81,1,SEARCH(",",Customers_0!B81)-1),Customers_0!B81)</f>
        <v>H.-P. Deitschun</v>
      </c>
      <c r="C81" t="str">
        <f t="shared" si="4"/>
        <v/>
      </c>
      <c r="D81" t="str">
        <f t="shared" si="5"/>
        <v/>
      </c>
      <c r="E81" t="str">
        <f t="shared" si="6"/>
        <v>H.-P. Deitschun</v>
      </c>
      <c r="N81" t="str">
        <f>IF(OR(ISNUMBER(SEARCH("weg",[1]Tabelle1!C81&amp;Customers_0!D81)),
          ISNUMBER(SEARCH("gekündigt",Customers_0!C81&amp;Customers_0!D81)),
          ISNUMBER(SEARCH("rente",LOWER(Customers_0!C81&amp;Customers_0!D81)))),
   "INACTIVE",
   "ACTIVE")</f>
        <v>ACTIVE</v>
      </c>
      <c r="O81" t="str">
        <f t="shared" si="7"/>
        <v>PRÜFEN</v>
      </c>
    </row>
    <row r="82" spans="1:15" x14ac:dyDescent="0.2">
      <c r="A82">
        <f>Customers_0!A82</f>
        <v>20450</v>
      </c>
      <c r="B82" t="str">
        <f>IFERROR(MID(Customers_0!B82,1,SEARCH(",",Customers_0!B82)-1),Customers_0!B82)</f>
        <v>Luxem/Spahn</v>
      </c>
      <c r="C82" t="str">
        <f t="shared" si="4"/>
        <v/>
      </c>
      <c r="D82" t="str">
        <f t="shared" si="5"/>
        <v/>
      </c>
      <c r="E82" t="str">
        <f t="shared" si="6"/>
        <v>Luxem/Spahn</v>
      </c>
      <c r="N82" t="str">
        <f>IF(OR(ISNUMBER(SEARCH("weg",[1]Tabelle1!C82&amp;Customers_0!D82)),
          ISNUMBER(SEARCH("gekündigt",Customers_0!C82&amp;Customers_0!D82)),
          ISNUMBER(SEARCH("rente",LOWER(Customers_0!C82&amp;Customers_0!D82)))),
   "INACTIVE",
   "ACTIVE")</f>
        <v>INACTIVE</v>
      </c>
      <c r="O82" t="str">
        <f t="shared" si="7"/>
        <v>PRÜFEN</v>
      </c>
    </row>
    <row r="83" spans="1:15" x14ac:dyDescent="0.2">
      <c r="A83">
        <f>Customers_0!A83</f>
        <v>20451</v>
      </c>
      <c r="B83" t="str">
        <f>IFERROR(MID(Customers_0!B83,1,SEARCH(",",Customers_0!B83)-1),Customers_0!B83)</f>
        <v>Dr.v.Schreckenstein</v>
      </c>
      <c r="C83" t="str">
        <f t="shared" si="4"/>
        <v/>
      </c>
      <c r="D83" t="str">
        <f t="shared" si="5"/>
        <v/>
      </c>
      <c r="E83" t="str">
        <f t="shared" si="6"/>
        <v>Dr.v.Schreckenstein</v>
      </c>
      <c r="N83" t="str">
        <f>IF(OR(ISNUMBER(SEARCH("weg",[1]Tabelle1!C83&amp;Customers_0!D83)),
          ISNUMBER(SEARCH("gekündigt",Customers_0!C83&amp;Customers_0!D83)),
          ISNUMBER(SEARCH("rente",LOWER(Customers_0!C83&amp;Customers_0!D83)))),
   "INACTIVE",
   "ACTIVE")</f>
        <v>INACTIVE</v>
      </c>
      <c r="O83" t="str">
        <f t="shared" si="7"/>
        <v>OK</v>
      </c>
    </row>
    <row r="84" spans="1:15" x14ac:dyDescent="0.2">
      <c r="A84">
        <f>Customers_0!A84</f>
        <v>20452</v>
      </c>
      <c r="B84" t="str">
        <f>IFERROR(MID(Customers_0!B84,1,SEARCH(",",Customers_0!B84)-1),Customers_0!B84)</f>
        <v>Dr. Domeyer</v>
      </c>
      <c r="C84" t="str">
        <f t="shared" si="4"/>
        <v>Dr.</v>
      </c>
      <c r="D84" t="str">
        <f t="shared" si="5"/>
        <v/>
      </c>
      <c r="E84" t="str">
        <f t="shared" si="6"/>
        <v>Domeyer</v>
      </c>
      <c r="N84" t="str">
        <f>IF(OR(ISNUMBER(SEARCH("weg",[1]Tabelle1!C84&amp;Customers_0!D84)),
          ISNUMBER(SEARCH("gekündigt",Customers_0!C84&amp;Customers_0!D84)),
          ISNUMBER(SEARCH("rente",LOWER(Customers_0!C84&amp;Customers_0!D84)))),
   "INACTIVE",
   "ACTIVE")</f>
        <v>INACTIVE</v>
      </c>
      <c r="O84" t="str">
        <f t="shared" si="7"/>
        <v>OK</v>
      </c>
    </row>
    <row r="85" spans="1:15" x14ac:dyDescent="0.2">
      <c r="A85">
        <f>Customers_0!A85</f>
        <v>20456</v>
      </c>
      <c r="B85" t="str">
        <f>IFERROR(MID(Customers_0!B85,1,SEARCH(",",Customers_0!B85)-1),Customers_0!B85)</f>
        <v>Dr. B. Wuttge-Barth</v>
      </c>
      <c r="C85" t="str">
        <f t="shared" si="4"/>
        <v>Dr.</v>
      </c>
      <c r="D85" t="str">
        <f t="shared" si="5"/>
        <v>B.</v>
      </c>
      <c r="E85" t="str">
        <f t="shared" si="6"/>
        <v>Wuttge-Barth</v>
      </c>
      <c r="N85" t="str">
        <f>IF(OR(ISNUMBER(SEARCH("weg",[1]Tabelle1!C85&amp;Customers_0!D85)),
          ISNUMBER(SEARCH("gekündigt",Customers_0!C85&amp;Customers_0!D85)),
          ISNUMBER(SEARCH("rente",LOWER(Customers_0!C85&amp;Customers_0!D85)))),
   "INACTIVE",
   "ACTIVE")</f>
        <v>INACTIVE</v>
      </c>
      <c r="O85" t="str">
        <f t="shared" si="7"/>
        <v>PRÜFEN</v>
      </c>
    </row>
    <row r="86" spans="1:15" x14ac:dyDescent="0.2">
      <c r="A86">
        <f>Customers_0!A86</f>
        <v>20464</v>
      </c>
      <c r="B86" t="str">
        <f>IFERROR(MID(Customers_0!B86,1,SEARCH(",",Customers_0!B86)-1),Customers_0!B86)</f>
        <v>Dres. Enders/Möller</v>
      </c>
      <c r="C86" t="str">
        <f t="shared" si="4"/>
        <v>Dres.</v>
      </c>
      <c r="D86" t="str">
        <f t="shared" si="5"/>
        <v/>
      </c>
      <c r="E86" t="str">
        <f t="shared" si="6"/>
        <v>Enders/Möller</v>
      </c>
      <c r="N86" t="str">
        <f>IF(OR(ISNUMBER(SEARCH("weg",[1]Tabelle1!C86&amp;Customers_0!D86)),
          ISNUMBER(SEARCH("gekündigt",Customers_0!C86&amp;Customers_0!D86)),
          ISNUMBER(SEARCH("rente",LOWER(Customers_0!C86&amp;Customers_0!D86)))),
   "INACTIVE",
   "ACTIVE")</f>
        <v>ACTIVE</v>
      </c>
      <c r="O86" t="str">
        <f t="shared" si="7"/>
        <v>PRÜFEN</v>
      </c>
    </row>
    <row r="87" spans="1:15" x14ac:dyDescent="0.2">
      <c r="A87">
        <f>Customers_0!A87</f>
        <v>20466</v>
      </c>
      <c r="B87" t="str">
        <f>IFERROR(MID(Customers_0!B87,1,SEARCH(",",Customers_0!B87)-1),Customers_0!B87)</f>
        <v>Dres. v.Velsen/Boman-Helms</v>
      </c>
      <c r="C87" t="str">
        <f t="shared" si="4"/>
        <v>Dres.</v>
      </c>
      <c r="D87" t="str">
        <f t="shared" si="5"/>
        <v>v.</v>
      </c>
      <c r="E87" t="str">
        <f t="shared" si="6"/>
        <v>elsen/Boman-Helms</v>
      </c>
      <c r="N87" t="str">
        <f>IF(OR(ISNUMBER(SEARCH("weg",[1]Tabelle1!C87&amp;Customers_0!D87)),
          ISNUMBER(SEARCH("gekündigt",Customers_0!C87&amp;Customers_0!D87)),
          ISNUMBER(SEARCH("rente",LOWER(Customers_0!C87&amp;Customers_0!D87)))),
   "INACTIVE",
   "ACTIVE")</f>
        <v>ACTIVE</v>
      </c>
      <c r="O87" t="str">
        <f t="shared" si="7"/>
        <v>PRÜFEN</v>
      </c>
    </row>
    <row r="88" spans="1:15" x14ac:dyDescent="0.2">
      <c r="A88">
        <f>Customers_0!A88</f>
        <v>20469</v>
      </c>
      <c r="B88" t="str">
        <f>IFERROR(MID(Customers_0!B88,1,SEARCH(",",Customers_0!B88)-1),Customers_0!B88)</f>
        <v>Dres. Ewers/ Siegel</v>
      </c>
      <c r="C88" t="str">
        <f t="shared" si="4"/>
        <v>Dres.</v>
      </c>
      <c r="D88" t="str">
        <f t="shared" si="5"/>
        <v/>
      </c>
      <c r="E88" t="str">
        <f t="shared" si="6"/>
        <v>Ewers/ Siegel</v>
      </c>
      <c r="N88" t="str">
        <f>IF(OR(ISNUMBER(SEARCH("weg",[1]Tabelle1!C88&amp;Customers_0!D88)),
          ISNUMBER(SEARCH("gekündigt",Customers_0!C88&amp;Customers_0!D88)),
          ISNUMBER(SEARCH("rente",LOWER(Customers_0!C88&amp;Customers_0!D88)))),
   "INACTIVE",
   "ACTIVE")</f>
        <v>ACTIVE</v>
      </c>
      <c r="O88" t="str">
        <f t="shared" si="7"/>
        <v>PRÜFEN</v>
      </c>
    </row>
    <row r="89" spans="1:15" x14ac:dyDescent="0.2">
      <c r="A89">
        <f>Customers_0!A89</f>
        <v>20470</v>
      </c>
      <c r="B89" t="str">
        <f>IFERROR(MID(Customers_0!B89,1,SEARCH(",",Customers_0!B89)-1),Customers_0!B89)</f>
        <v>Dr. Stoschek/ Paiss</v>
      </c>
      <c r="C89" t="str">
        <f t="shared" si="4"/>
        <v>Dr.</v>
      </c>
      <c r="D89" t="str">
        <f t="shared" si="5"/>
        <v/>
      </c>
      <c r="E89" t="str">
        <f t="shared" si="6"/>
        <v>Stoschek/ Paiss</v>
      </c>
      <c r="N89" t="str">
        <f>IF(OR(ISNUMBER(SEARCH("weg",[1]Tabelle1!C89&amp;Customers_0!D89)),
          ISNUMBER(SEARCH("gekündigt",Customers_0!C89&amp;Customers_0!D89)),
          ISNUMBER(SEARCH("rente",LOWER(Customers_0!C89&amp;Customers_0!D89)))),
   "INACTIVE",
   "ACTIVE")</f>
        <v>ACTIVE</v>
      </c>
      <c r="O89" t="str">
        <f t="shared" si="7"/>
        <v>PRÜFEN</v>
      </c>
    </row>
    <row r="90" spans="1:15" x14ac:dyDescent="0.2">
      <c r="A90">
        <f>Customers_0!A90</f>
        <v>20471</v>
      </c>
      <c r="B90" t="str">
        <f>IFERROR(MID(Customers_0!B90,1,SEARCH(",",Customers_0!B90)-1),Customers_0!B90)</f>
        <v>Dres. Bretschneider/Karitzky/V.</v>
      </c>
      <c r="C90" t="str">
        <f t="shared" si="4"/>
        <v>Dres.</v>
      </c>
      <c r="D90" t="str">
        <f t="shared" si="5"/>
        <v/>
      </c>
      <c r="E90" t="str">
        <f t="shared" si="6"/>
        <v>Bretschneider/Karitzky/V.</v>
      </c>
      <c r="N90" t="str">
        <f>IF(OR(ISNUMBER(SEARCH("weg",[1]Tabelle1!C90&amp;Customers_0!D90)),
          ISNUMBER(SEARCH("gekündigt",Customers_0!C90&amp;Customers_0!D90)),
          ISNUMBER(SEARCH("rente",LOWER(Customers_0!C90&amp;Customers_0!D90)))),
   "INACTIVE",
   "ACTIVE")</f>
        <v>ACTIVE</v>
      </c>
      <c r="O90" t="str">
        <f t="shared" si="7"/>
        <v>PRÜFEN</v>
      </c>
    </row>
    <row r="91" spans="1:15" x14ac:dyDescent="0.2">
      <c r="A91">
        <f>Customers_0!A91</f>
        <v>20474</v>
      </c>
      <c r="B91" t="str">
        <f>IFERROR(MID(Customers_0!B91,1,SEARCH(",",Customers_0!B91)-1),Customers_0!B91)</f>
        <v>Dres. Arlt/ Leibecke</v>
      </c>
      <c r="C91" t="str">
        <f t="shared" si="4"/>
        <v>Dres.</v>
      </c>
      <c r="D91" t="str">
        <f t="shared" si="5"/>
        <v/>
      </c>
      <c r="E91" t="str">
        <f t="shared" si="6"/>
        <v>Arlt/ Leibecke</v>
      </c>
      <c r="N91" t="str">
        <f>IF(OR(ISNUMBER(SEARCH("weg",[1]Tabelle1!C91&amp;Customers_0!D91)),
          ISNUMBER(SEARCH("gekündigt",Customers_0!C91&amp;Customers_0!D91)),
          ISNUMBER(SEARCH("rente",LOWER(Customers_0!C91&amp;Customers_0!D91)))),
   "INACTIVE",
   "ACTIVE")</f>
        <v>ACTIVE</v>
      </c>
      <c r="O91" t="str">
        <f t="shared" si="7"/>
        <v>PRÜFEN</v>
      </c>
    </row>
    <row r="92" spans="1:15" x14ac:dyDescent="0.2">
      <c r="A92">
        <f>Customers_0!A92</f>
        <v>20475</v>
      </c>
      <c r="B92" t="str">
        <f>IFERROR(MID(Customers_0!B92,1,SEARCH(",",Customers_0!B92)-1),Customers_0!B92)</f>
        <v>Dr. Eschenbach</v>
      </c>
      <c r="C92" t="str">
        <f t="shared" si="4"/>
        <v>Dr.</v>
      </c>
      <c r="D92" t="str">
        <f t="shared" si="5"/>
        <v/>
      </c>
      <c r="E92" t="str">
        <f t="shared" si="6"/>
        <v>Eschenbach</v>
      </c>
      <c r="N92" t="str">
        <f>IF(OR(ISNUMBER(SEARCH("weg",[1]Tabelle1!C92&amp;Customers_0!D92)),
          ISNUMBER(SEARCH("gekündigt",Customers_0!C92&amp;Customers_0!D92)),
          ISNUMBER(SEARCH("rente",LOWER(Customers_0!C92&amp;Customers_0!D92)))),
   "INACTIVE",
   "ACTIVE")</f>
        <v>ACTIVE</v>
      </c>
      <c r="O92" t="str">
        <f t="shared" si="7"/>
        <v>OK</v>
      </c>
    </row>
    <row r="93" spans="1:15" x14ac:dyDescent="0.2">
      <c r="A93">
        <f>Customers_0!A93</f>
        <v>20479</v>
      </c>
      <c r="B93" t="str">
        <f>IFERROR(MID(Customers_0!B93,1,SEARCH(",",Customers_0!B93)-1),Customers_0!B93)</f>
        <v>H.Sachs</v>
      </c>
      <c r="C93" t="str">
        <f t="shared" si="4"/>
        <v/>
      </c>
      <c r="D93" t="str">
        <f t="shared" si="5"/>
        <v/>
      </c>
      <c r="E93" t="str">
        <f t="shared" si="6"/>
        <v>H.Sachs</v>
      </c>
      <c r="N93" t="str">
        <f>IF(OR(ISNUMBER(SEARCH("weg",[1]Tabelle1!C93&amp;Customers_0!D93)),
          ISNUMBER(SEARCH("gekündigt",Customers_0!C93&amp;Customers_0!D93)),
          ISNUMBER(SEARCH("rente",LOWER(Customers_0!C93&amp;Customers_0!D93)))),
   "INACTIVE",
   "ACTIVE")</f>
        <v>ACTIVE</v>
      </c>
      <c r="O93" t="str">
        <f t="shared" si="7"/>
        <v>OK</v>
      </c>
    </row>
    <row r="94" spans="1:15" x14ac:dyDescent="0.2">
      <c r="A94">
        <f>Customers_0!A94</f>
        <v>20480</v>
      </c>
      <c r="B94" t="str">
        <f>IFERROR(MID(Customers_0!B94,1,SEARCH(",",Customers_0!B94)-1),Customers_0!B94)</f>
        <v>Dres. Lipke</v>
      </c>
      <c r="C94" t="str">
        <f t="shared" si="4"/>
        <v>Dres.</v>
      </c>
      <c r="D94" t="str">
        <f t="shared" si="5"/>
        <v/>
      </c>
      <c r="E94" t="str">
        <f t="shared" si="6"/>
        <v>Lipke</v>
      </c>
      <c r="N94" t="str">
        <f>IF(OR(ISNUMBER(SEARCH("weg",[1]Tabelle1!C94&amp;Customers_0!D94)),
          ISNUMBER(SEARCH("gekündigt",Customers_0!C94&amp;Customers_0!D94)),
          ISNUMBER(SEARCH("rente",LOWER(Customers_0!C94&amp;Customers_0!D94)))),
   "INACTIVE",
   "ACTIVE")</f>
        <v>ACTIVE</v>
      </c>
      <c r="O94" t="str">
        <f t="shared" si="7"/>
        <v>OK</v>
      </c>
    </row>
    <row r="95" spans="1:15" x14ac:dyDescent="0.2">
      <c r="A95">
        <f>Customers_0!A95</f>
        <v>20482</v>
      </c>
      <c r="B95" t="str">
        <f>IFERROR(MID(Customers_0!B95,1,SEARCH(",",Customers_0!B95)-1),Customers_0!B95)</f>
        <v>Dr. Wiest</v>
      </c>
      <c r="C95" t="str">
        <f t="shared" si="4"/>
        <v>Dr.</v>
      </c>
      <c r="D95" t="str">
        <f t="shared" si="5"/>
        <v/>
      </c>
      <c r="E95" t="str">
        <f t="shared" si="6"/>
        <v>Wiest</v>
      </c>
      <c r="N95" t="str">
        <f>IF(OR(ISNUMBER(SEARCH("weg",[1]Tabelle1!C95&amp;Customers_0!D95)),
          ISNUMBER(SEARCH("gekündigt",Customers_0!C95&amp;Customers_0!D95)),
          ISNUMBER(SEARCH("rente",LOWER(Customers_0!C95&amp;Customers_0!D95)))),
   "INACTIVE",
   "ACTIVE")</f>
        <v>ACTIVE</v>
      </c>
      <c r="O95" t="str">
        <f t="shared" si="7"/>
        <v>OK</v>
      </c>
    </row>
    <row r="96" spans="1:15" x14ac:dyDescent="0.2">
      <c r="A96">
        <f>Customers_0!A96</f>
        <v>20483</v>
      </c>
      <c r="B96" t="str">
        <f>IFERROR(MID(Customers_0!B96,1,SEARCH(",",Customers_0!B96)-1),Customers_0!B96)</f>
        <v>A. Kreitling-Thomas</v>
      </c>
      <c r="C96" t="str">
        <f t="shared" si="4"/>
        <v/>
      </c>
      <c r="D96" t="str">
        <f t="shared" si="5"/>
        <v/>
      </c>
      <c r="E96" t="str">
        <f t="shared" si="6"/>
        <v>A. Kreitling-Thomas</v>
      </c>
      <c r="N96" t="str">
        <f>IF(OR(ISNUMBER(SEARCH("weg",[1]Tabelle1!C96&amp;Customers_0!D96)),
          ISNUMBER(SEARCH("gekündigt",Customers_0!C96&amp;Customers_0!D96)),
          ISNUMBER(SEARCH("rente",LOWER(Customers_0!C96&amp;Customers_0!D96)))),
   "INACTIVE",
   "ACTIVE")</f>
        <v>INACTIVE</v>
      </c>
      <c r="O96" t="str">
        <f t="shared" si="7"/>
        <v>PRÜFEN</v>
      </c>
    </row>
    <row r="97" spans="1:15" x14ac:dyDescent="0.2">
      <c r="A97">
        <f>Customers_0!A97</f>
        <v>20485</v>
      </c>
      <c r="B97" t="str">
        <f>IFERROR(MID(Customers_0!B97,1,SEARCH(",",Customers_0!B97)-1),Customers_0!B97)</f>
        <v>Hißnauer/Pape/Schneider</v>
      </c>
      <c r="C97" t="str">
        <f t="shared" si="4"/>
        <v/>
      </c>
      <c r="D97" t="str">
        <f t="shared" si="5"/>
        <v/>
      </c>
      <c r="E97" t="str">
        <f t="shared" si="6"/>
        <v>Hißnauer/Pape/Schneider</v>
      </c>
      <c r="N97" t="str">
        <f>IF(OR(ISNUMBER(SEARCH("weg",[1]Tabelle1!C97&amp;Customers_0!D97)),
          ISNUMBER(SEARCH("gekündigt",Customers_0!C97&amp;Customers_0!D97)),
          ISNUMBER(SEARCH("rente",LOWER(Customers_0!C97&amp;Customers_0!D97)))),
   "INACTIVE",
   "ACTIVE")</f>
        <v>ACTIVE</v>
      </c>
      <c r="O97" t="str">
        <f t="shared" si="7"/>
        <v>PRÜFEN</v>
      </c>
    </row>
    <row r="98" spans="1:15" x14ac:dyDescent="0.2">
      <c r="A98">
        <f>Customers_0!A98</f>
        <v>20486</v>
      </c>
      <c r="B98" t="str">
        <f>IFERROR(MID(Customers_0!B98,1,SEARCH(",",Customers_0!B98)-1),Customers_0!B98)</f>
        <v>Dres. Nübel</v>
      </c>
      <c r="C98" t="str">
        <f t="shared" si="4"/>
        <v>Dres.</v>
      </c>
      <c r="D98" t="str">
        <f t="shared" si="5"/>
        <v/>
      </c>
      <c r="E98" t="str">
        <f t="shared" si="6"/>
        <v>Nübel</v>
      </c>
      <c r="N98" t="str">
        <f>IF(OR(ISNUMBER(SEARCH("weg",[1]Tabelle1!C98&amp;Customers_0!D98)),
          ISNUMBER(SEARCH("gekündigt",Customers_0!C98&amp;Customers_0!D98)),
          ISNUMBER(SEARCH("rente",LOWER(Customers_0!C98&amp;Customers_0!D98)))),
   "INACTIVE",
   "ACTIVE")</f>
        <v>ACTIVE</v>
      </c>
      <c r="O98" t="str">
        <f t="shared" si="7"/>
        <v>OK</v>
      </c>
    </row>
    <row r="99" spans="1:15" x14ac:dyDescent="0.2">
      <c r="A99">
        <f>Customers_0!A99</f>
        <v>20487</v>
      </c>
      <c r="B99" t="str">
        <f>IFERROR(MID(Customers_0!B99,1,SEARCH(",",Customers_0!B99)-1),Customers_0!B99)</f>
        <v>Dres. Albrecht/Kübel</v>
      </c>
      <c r="C99" t="str">
        <f t="shared" si="4"/>
        <v>Dres.</v>
      </c>
      <c r="D99" t="str">
        <f t="shared" si="5"/>
        <v/>
      </c>
      <c r="E99" t="str">
        <f t="shared" si="6"/>
        <v>Albrecht/Kübel</v>
      </c>
      <c r="N99" t="str">
        <f>IF(OR(ISNUMBER(SEARCH("weg",[1]Tabelle1!C99&amp;Customers_0!D99)),
          ISNUMBER(SEARCH("gekündigt",Customers_0!C99&amp;Customers_0!D99)),
          ISNUMBER(SEARCH("rente",LOWER(Customers_0!C99&amp;Customers_0!D99)))),
   "INACTIVE",
   "ACTIVE")</f>
        <v>ACTIVE</v>
      </c>
      <c r="O99" t="str">
        <f t="shared" si="7"/>
        <v>PRÜFEN</v>
      </c>
    </row>
    <row r="100" spans="1:15" x14ac:dyDescent="0.2">
      <c r="A100">
        <f>Customers_0!A100</f>
        <v>20488</v>
      </c>
      <c r="B100" t="str">
        <f>IFERROR(MID(Customers_0!B100,1,SEARCH(",",Customers_0!B100)-1),Customers_0!B100)</f>
        <v>Dres. Beck/Hermann</v>
      </c>
      <c r="C100" t="str">
        <f t="shared" si="4"/>
        <v>Dres.</v>
      </c>
      <c r="D100" t="str">
        <f t="shared" si="5"/>
        <v/>
      </c>
      <c r="E100" t="str">
        <f t="shared" si="6"/>
        <v>Beck/Hermann</v>
      </c>
      <c r="N100" t="str">
        <f>IF(OR(ISNUMBER(SEARCH("weg",[1]Tabelle1!C100&amp;Customers_0!D100)),
          ISNUMBER(SEARCH("gekündigt",Customers_0!C100&amp;Customers_0!D100)),
          ISNUMBER(SEARCH("rente",LOWER(Customers_0!C100&amp;Customers_0!D100)))),
   "INACTIVE",
   "ACTIVE")</f>
        <v>ACTIVE</v>
      </c>
      <c r="O100" t="str">
        <f t="shared" si="7"/>
        <v>PRÜFEN</v>
      </c>
    </row>
    <row r="101" spans="1:15" x14ac:dyDescent="0.2">
      <c r="A101">
        <f>Customers_0!A101</f>
        <v>20489</v>
      </c>
      <c r="B101" t="str">
        <f>IFERROR(MID(Customers_0!B101,1,SEARCH(",",Customers_0!B101)-1),Customers_0!B101)</f>
        <v>Dr. Timme/Grefen</v>
      </c>
      <c r="C101" t="str">
        <f t="shared" si="4"/>
        <v>Dr.</v>
      </c>
      <c r="D101" t="str">
        <f t="shared" si="5"/>
        <v/>
      </c>
      <c r="E101" t="str">
        <f t="shared" si="6"/>
        <v>Timme/Grefen</v>
      </c>
      <c r="N101" t="str">
        <f>IF(OR(ISNUMBER(SEARCH("weg",[1]Tabelle1!C101&amp;Customers_0!D101)),
          ISNUMBER(SEARCH("gekündigt",Customers_0!C101&amp;Customers_0!D101)),
          ISNUMBER(SEARCH("rente",LOWER(Customers_0!C101&amp;Customers_0!D101)))),
   "INACTIVE",
   "ACTIVE")</f>
        <v>ACTIVE</v>
      </c>
      <c r="O101" t="str">
        <f t="shared" si="7"/>
        <v>PRÜFEN</v>
      </c>
    </row>
    <row r="102" spans="1:15" x14ac:dyDescent="0.2">
      <c r="A102">
        <f>Customers_0!A102</f>
        <v>20494</v>
      </c>
      <c r="B102" t="str">
        <f>IFERROR(MID(Customers_0!B102,1,SEARCH(",",Customers_0!B102)-1),Customers_0!B102)</f>
        <v>U. Eltner-Goblitschke</v>
      </c>
      <c r="C102" t="str">
        <f t="shared" si="4"/>
        <v/>
      </c>
      <c r="D102" t="str">
        <f t="shared" si="5"/>
        <v/>
      </c>
      <c r="E102" t="str">
        <f t="shared" si="6"/>
        <v>U. Eltner-Goblitschke</v>
      </c>
      <c r="N102" t="str">
        <f>IF(OR(ISNUMBER(SEARCH("weg",[1]Tabelle1!C102&amp;Customers_0!D102)),
          ISNUMBER(SEARCH("gekündigt",Customers_0!C102&amp;Customers_0!D102)),
          ISNUMBER(SEARCH("rente",LOWER(Customers_0!C102&amp;Customers_0!D102)))),
   "INACTIVE",
   "ACTIVE")</f>
        <v>ACTIVE</v>
      </c>
      <c r="O102" t="str">
        <f t="shared" si="7"/>
        <v>PRÜFEN</v>
      </c>
    </row>
    <row r="103" spans="1:15" x14ac:dyDescent="0.2">
      <c r="A103">
        <f>Customers_0!A103</f>
        <v>20499</v>
      </c>
      <c r="B103" t="str">
        <f>IFERROR(MID(Customers_0!B103,1,SEARCH(",",Customers_0!B103)-1),Customers_0!B103)</f>
        <v>Dr.Hepp-Müller</v>
      </c>
      <c r="C103" t="str">
        <f t="shared" si="4"/>
        <v/>
      </c>
      <c r="D103" t="str">
        <f t="shared" si="5"/>
        <v/>
      </c>
      <c r="E103" t="str">
        <f t="shared" si="6"/>
        <v>Dr.Hepp-Müller</v>
      </c>
      <c r="N103" t="str">
        <f>IF(OR(ISNUMBER(SEARCH("weg",[1]Tabelle1!C103&amp;Customers_0!D103)),
          ISNUMBER(SEARCH("gekündigt",Customers_0!C103&amp;Customers_0!D103)),
          ISNUMBER(SEARCH("rente",LOWER(Customers_0!C103&amp;Customers_0!D103)))),
   "INACTIVE",
   "ACTIVE")</f>
        <v>ACTIVE</v>
      </c>
      <c r="O103" t="str">
        <f t="shared" si="7"/>
        <v>PRÜFEN</v>
      </c>
    </row>
    <row r="104" spans="1:15" x14ac:dyDescent="0.2">
      <c r="A104">
        <f>Customers_0!A104</f>
        <v>20500</v>
      </c>
      <c r="B104" t="str">
        <f>IFERROR(MID(Customers_0!B104,1,SEARCH(",",Customers_0!B104)-1),Customers_0!B104)</f>
        <v>Dr. Speidel/ Schmid</v>
      </c>
      <c r="C104" t="str">
        <f t="shared" si="4"/>
        <v>Dr.</v>
      </c>
      <c r="D104" t="str">
        <f t="shared" si="5"/>
        <v/>
      </c>
      <c r="E104" t="str">
        <f t="shared" si="6"/>
        <v>Speidel/ Schmid</v>
      </c>
      <c r="N104" t="str">
        <f>IF(OR(ISNUMBER(SEARCH("weg",[1]Tabelle1!C104&amp;Customers_0!D104)),
          ISNUMBER(SEARCH("gekündigt",Customers_0!C104&amp;Customers_0!D104)),
          ISNUMBER(SEARCH("rente",LOWER(Customers_0!C104&amp;Customers_0!D104)))),
   "INACTIVE",
   "ACTIVE")</f>
        <v>INACTIVE</v>
      </c>
      <c r="O104" t="str">
        <f t="shared" si="7"/>
        <v>PRÜFEN</v>
      </c>
    </row>
    <row r="105" spans="1:15" x14ac:dyDescent="0.2">
      <c r="A105">
        <f>Customers_0!A105</f>
        <v>20501</v>
      </c>
      <c r="B105" t="str">
        <f>IFERROR(MID(Customers_0!B105,1,SEARCH(",",Customers_0!B105)-1),Customers_0!B105)</f>
        <v>Dr. Autenrieth</v>
      </c>
      <c r="C105" t="str">
        <f t="shared" si="4"/>
        <v>Dr.</v>
      </c>
      <c r="D105" t="str">
        <f t="shared" si="5"/>
        <v/>
      </c>
      <c r="E105" t="str">
        <f t="shared" si="6"/>
        <v>Autenrieth</v>
      </c>
      <c r="N105" t="str">
        <f>IF(OR(ISNUMBER(SEARCH("weg",[1]Tabelle1!C105&amp;Customers_0!D105)),
          ISNUMBER(SEARCH("gekündigt",Customers_0!C105&amp;Customers_0!D105)),
          ISNUMBER(SEARCH("rente",LOWER(Customers_0!C105&amp;Customers_0!D105)))),
   "INACTIVE",
   "ACTIVE")</f>
        <v>ACTIVE</v>
      </c>
      <c r="O105" t="str">
        <f t="shared" si="7"/>
        <v>OK</v>
      </c>
    </row>
    <row r="106" spans="1:15" x14ac:dyDescent="0.2">
      <c r="A106">
        <f>Customers_0!A106</f>
        <v>20502</v>
      </c>
      <c r="B106" t="str">
        <f>IFERROR(MID(Customers_0!B106,1,SEARCH(",",Customers_0!B106)-1),Customers_0!B106)</f>
        <v>Dr. Lüdecke</v>
      </c>
      <c r="C106" t="str">
        <f t="shared" si="4"/>
        <v>Dr.</v>
      </c>
      <c r="D106" t="str">
        <f t="shared" si="5"/>
        <v/>
      </c>
      <c r="E106" t="str">
        <f t="shared" si="6"/>
        <v>Lüdecke</v>
      </c>
      <c r="N106" t="str">
        <f>IF(OR(ISNUMBER(SEARCH("weg",[1]Tabelle1!C106&amp;Customers_0!D106)),
          ISNUMBER(SEARCH("gekündigt",Customers_0!C106&amp;Customers_0!D106)),
          ISNUMBER(SEARCH("rente",LOWER(Customers_0!C106&amp;Customers_0!D106)))),
   "INACTIVE",
   "ACTIVE")</f>
        <v>ACTIVE</v>
      </c>
      <c r="O106" t="str">
        <f t="shared" si="7"/>
        <v>OK</v>
      </c>
    </row>
    <row r="107" spans="1:15" x14ac:dyDescent="0.2">
      <c r="A107">
        <f>Customers_0!A107</f>
        <v>20504</v>
      </c>
      <c r="B107" t="str">
        <f>IFERROR(MID(Customers_0!B107,1,SEARCH(",",Customers_0!B107)-1),Customers_0!B107)</f>
        <v>Dr. Drews</v>
      </c>
      <c r="C107" t="str">
        <f t="shared" si="4"/>
        <v>Dr.</v>
      </c>
      <c r="D107" t="str">
        <f t="shared" si="5"/>
        <v/>
      </c>
      <c r="E107" t="str">
        <f t="shared" si="6"/>
        <v>Drews</v>
      </c>
      <c r="N107" t="str">
        <f>IF(OR(ISNUMBER(SEARCH("weg",[1]Tabelle1!C107&amp;Customers_0!D107)),
          ISNUMBER(SEARCH("gekündigt",Customers_0!C107&amp;Customers_0!D107)),
          ISNUMBER(SEARCH("rente",LOWER(Customers_0!C107&amp;Customers_0!D107)))),
   "INACTIVE",
   "ACTIVE")</f>
        <v>ACTIVE</v>
      </c>
      <c r="O107" t="str">
        <f t="shared" si="7"/>
        <v>OK</v>
      </c>
    </row>
    <row r="108" spans="1:15" x14ac:dyDescent="0.2">
      <c r="A108">
        <f>Customers_0!A108</f>
        <v>20507</v>
      </c>
      <c r="B108" t="str">
        <f>IFERROR(MID(Customers_0!B108,1,SEARCH(",",Customers_0!B108)-1),Customers_0!B108)</f>
        <v>Dr. Baldenhofer</v>
      </c>
      <c r="C108" t="str">
        <f t="shared" si="4"/>
        <v>Dr.</v>
      </c>
      <c r="D108" t="str">
        <f t="shared" si="5"/>
        <v/>
      </c>
      <c r="E108" t="str">
        <f t="shared" si="6"/>
        <v>Baldenhofer</v>
      </c>
      <c r="N108" t="str">
        <f>IF(OR(ISNUMBER(SEARCH("weg",[1]Tabelle1!C108&amp;Customers_0!D108)),
          ISNUMBER(SEARCH("gekündigt",Customers_0!C108&amp;Customers_0!D108)),
          ISNUMBER(SEARCH("rente",LOWER(Customers_0!C108&amp;Customers_0!D108)))),
   "INACTIVE",
   "ACTIVE")</f>
        <v>ACTIVE</v>
      </c>
      <c r="O108" t="str">
        <f t="shared" si="7"/>
        <v>OK</v>
      </c>
    </row>
    <row r="109" spans="1:15" x14ac:dyDescent="0.2">
      <c r="A109">
        <f>Customers_0!A109</f>
        <v>20508</v>
      </c>
      <c r="B109" t="str">
        <f>IFERROR(MID(Customers_0!B109,1,SEARCH(",",Customers_0!B109)-1),Customers_0!B109)</f>
        <v>Dres.Kienle/Ritter</v>
      </c>
      <c r="C109" t="str">
        <f t="shared" si="4"/>
        <v/>
      </c>
      <c r="D109" t="str">
        <f t="shared" si="5"/>
        <v/>
      </c>
      <c r="E109" t="str">
        <f t="shared" si="6"/>
        <v>Dres.Kienle/Ritter</v>
      </c>
      <c r="N109" t="str">
        <f>IF(OR(ISNUMBER(SEARCH("weg",[1]Tabelle1!C109&amp;Customers_0!D109)),
          ISNUMBER(SEARCH("gekündigt",Customers_0!C109&amp;Customers_0!D109)),
          ISNUMBER(SEARCH("rente",LOWER(Customers_0!C109&amp;Customers_0!D109)))),
   "INACTIVE",
   "ACTIVE")</f>
        <v>ACTIVE</v>
      </c>
      <c r="O109" t="str">
        <f t="shared" si="7"/>
        <v>PRÜFEN</v>
      </c>
    </row>
    <row r="110" spans="1:15" x14ac:dyDescent="0.2">
      <c r="A110">
        <f>Customers_0!A110</f>
        <v>20511</v>
      </c>
      <c r="B110" t="str">
        <f>IFERROR(MID(Customers_0!B110,1,SEARCH(",",Customers_0!B110)-1),Customers_0!B110)</f>
        <v>Dr.Neuwinger</v>
      </c>
      <c r="C110" t="str">
        <f t="shared" si="4"/>
        <v/>
      </c>
      <c r="D110" t="str">
        <f t="shared" si="5"/>
        <v/>
      </c>
      <c r="E110" t="str">
        <f t="shared" si="6"/>
        <v>Dr.Neuwinger</v>
      </c>
      <c r="N110" t="str">
        <f>IF(OR(ISNUMBER(SEARCH("weg",[1]Tabelle1!C110&amp;Customers_0!D110)),
          ISNUMBER(SEARCH("gekündigt",Customers_0!C110&amp;Customers_0!D110)),
          ISNUMBER(SEARCH("rente",LOWER(Customers_0!C110&amp;Customers_0!D110)))),
   "INACTIVE",
   "ACTIVE")</f>
        <v>ACTIVE</v>
      </c>
      <c r="O110" t="str">
        <f t="shared" si="7"/>
        <v>OK</v>
      </c>
    </row>
    <row r="111" spans="1:15" x14ac:dyDescent="0.2">
      <c r="A111">
        <f>Customers_0!A111</f>
        <v>20513</v>
      </c>
      <c r="B111" t="str">
        <f>IFERROR(MID(Customers_0!B111,1,SEARCH(",",Customers_0!B111)-1),Customers_0!B111)</f>
        <v>Dr.Weil</v>
      </c>
      <c r="C111" t="str">
        <f t="shared" si="4"/>
        <v/>
      </c>
      <c r="D111" t="str">
        <f t="shared" si="5"/>
        <v/>
      </c>
      <c r="E111" t="str">
        <f t="shared" si="6"/>
        <v>Dr.Weil</v>
      </c>
      <c r="N111" t="str">
        <f>IF(OR(ISNUMBER(SEARCH("weg",[1]Tabelle1!C111&amp;Customers_0!D111)),
          ISNUMBER(SEARCH("gekündigt",Customers_0!C111&amp;Customers_0!D111)),
          ISNUMBER(SEARCH("rente",LOWER(Customers_0!C111&amp;Customers_0!D111)))),
   "INACTIVE",
   "ACTIVE")</f>
        <v>ACTIVE</v>
      </c>
      <c r="O111" t="str">
        <f t="shared" si="7"/>
        <v>OK</v>
      </c>
    </row>
    <row r="112" spans="1:15" x14ac:dyDescent="0.2">
      <c r="A112">
        <f>Customers_0!A112</f>
        <v>20515</v>
      </c>
      <c r="B112" t="str">
        <f>IFERROR(MID(Customers_0!B112,1,SEARCH(",",Customers_0!B112)-1),Customers_0!B112)</f>
        <v>Apotheke AlbDonau</v>
      </c>
      <c r="C112" t="str">
        <f t="shared" si="4"/>
        <v/>
      </c>
      <c r="D112" t="str">
        <f t="shared" si="5"/>
        <v/>
      </c>
      <c r="E112" t="str">
        <f t="shared" si="6"/>
        <v>Apotheke AlbDonau</v>
      </c>
      <c r="N112" t="str">
        <f>IF(OR(ISNUMBER(SEARCH("weg",[1]Tabelle1!C112&amp;Customers_0!D112)),
          ISNUMBER(SEARCH("gekündigt",Customers_0!C112&amp;Customers_0!D112)),
          ISNUMBER(SEARCH("rente",LOWER(Customers_0!C112&amp;Customers_0!D112)))),
   "INACTIVE",
   "ACTIVE")</f>
        <v>ACTIVE</v>
      </c>
      <c r="O112" t="str">
        <f t="shared" si="7"/>
        <v>OK</v>
      </c>
    </row>
    <row r="113" spans="1:15" x14ac:dyDescent="0.2">
      <c r="A113">
        <f>Customers_0!A113</f>
        <v>20516</v>
      </c>
      <c r="B113" t="str">
        <f>IFERROR(MID(Customers_0!B113,1,SEARCH(",",Customers_0!B113)-1),Customers_0!B113)</f>
        <v>Wunderlich</v>
      </c>
      <c r="C113" t="str">
        <f t="shared" si="4"/>
        <v/>
      </c>
      <c r="D113" t="str">
        <f t="shared" si="5"/>
        <v/>
      </c>
      <c r="E113" t="str">
        <f t="shared" si="6"/>
        <v>Wunderlich</v>
      </c>
      <c r="N113" t="str">
        <f>IF(OR(ISNUMBER(SEARCH("weg",[1]Tabelle1!C113&amp;Customers_0!D113)),
          ISNUMBER(SEARCH("gekündigt",Customers_0!C113&amp;Customers_0!D113)),
          ISNUMBER(SEARCH("rente",LOWER(Customers_0!C113&amp;Customers_0!D113)))),
   "INACTIVE",
   "ACTIVE")</f>
        <v>ACTIVE</v>
      </c>
      <c r="O113" t="str">
        <f t="shared" si="7"/>
        <v>OK</v>
      </c>
    </row>
    <row r="114" spans="1:15" x14ac:dyDescent="0.2">
      <c r="A114">
        <f>Customers_0!A114</f>
        <v>20518</v>
      </c>
      <c r="B114" t="str">
        <f>IFERROR(MID(Customers_0!B114,1,SEARCH(",",Customers_0!B114)-1),Customers_0!B114)</f>
        <v>Dr. Burkhard</v>
      </c>
      <c r="C114" t="str">
        <f t="shared" si="4"/>
        <v>Dr.</v>
      </c>
      <c r="D114" t="str">
        <f t="shared" si="5"/>
        <v/>
      </c>
      <c r="E114" t="str">
        <f t="shared" si="6"/>
        <v>Burkhard</v>
      </c>
      <c r="N114" t="str">
        <f>IF(OR(ISNUMBER(SEARCH("weg",[1]Tabelle1!C114&amp;Customers_0!D114)),
          ISNUMBER(SEARCH("gekündigt",Customers_0!C114&amp;Customers_0!D114)),
          ISNUMBER(SEARCH("rente",LOWER(Customers_0!C114&amp;Customers_0!D114)))),
   "INACTIVE",
   "ACTIVE")</f>
        <v>ACTIVE</v>
      </c>
      <c r="O114" t="str">
        <f t="shared" si="7"/>
        <v>OK</v>
      </c>
    </row>
    <row r="115" spans="1:15" x14ac:dyDescent="0.2">
      <c r="A115">
        <f>Customers_0!A115</f>
        <v>20519</v>
      </c>
      <c r="B115" t="str">
        <f>IFERROR(MID(Customers_0!B115,1,SEARCH(",",Customers_0!B115)-1),Customers_0!B115)</f>
        <v>Dr. Walther</v>
      </c>
      <c r="C115" t="str">
        <f t="shared" si="4"/>
        <v>Dr.</v>
      </c>
      <c r="D115" t="str">
        <f t="shared" si="5"/>
        <v/>
      </c>
      <c r="E115" t="str">
        <f t="shared" si="6"/>
        <v>Walther</v>
      </c>
      <c r="N115" t="str">
        <f>IF(OR(ISNUMBER(SEARCH("weg",[1]Tabelle1!C115&amp;Customers_0!D115)),
          ISNUMBER(SEARCH("gekündigt",Customers_0!C115&amp;Customers_0!D115)),
          ISNUMBER(SEARCH("rente",LOWER(Customers_0!C115&amp;Customers_0!D115)))),
   "INACTIVE",
   "ACTIVE")</f>
        <v>ACTIVE</v>
      </c>
      <c r="O115" t="str">
        <f t="shared" si="7"/>
        <v>OK</v>
      </c>
    </row>
    <row r="116" spans="1:15" x14ac:dyDescent="0.2">
      <c r="A116">
        <f>Customers_0!A116</f>
        <v>20520</v>
      </c>
      <c r="B116" t="str">
        <f>IFERROR(MID(Customers_0!B116,1,SEARCH(",",Customers_0!B116)-1),Customers_0!B116)</f>
        <v>Dr. Bretzel</v>
      </c>
      <c r="C116" t="str">
        <f t="shared" si="4"/>
        <v>Dr.</v>
      </c>
      <c r="D116" t="str">
        <f t="shared" si="5"/>
        <v/>
      </c>
      <c r="E116" t="str">
        <f t="shared" si="6"/>
        <v>Bretzel</v>
      </c>
      <c r="N116" t="str">
        <f>IF(OR(ISNUMBER(SEARCH("weg",[1]Tabelle1!C116&amp;Customers_0!D116)),
          ISNUMBER(SEARCH("gekündigt",Customers_0!C116&amp;Customers_0!D116)),
          ISNUMBER(SEARCH("rente",LOWER(Customers_0!C116&amp;Customers_0!D116)))),
   "INACTIVE",
   "ACTIVE")</f>
        <v>ACTIVE</v>
      </c>
      <c r="O116" t="str">
        <f t="shared" si="7"/>
        <v>OK</v>
      </c>
    </row>
    <row r="117" spans="1:15" x14ac:dyDescent="0.2">
      <c r="A117">
        <f>Customers_0!A117</f>
        <v>20521</v>
      </c>
      <c r="B117" t="str">
        <f>IFERROR(MID(Customers_0!B117,1,SEARCH(",",Customers_0!B117)-1),Customers_0!B117)</f>
        <v>Drs. Weimer/Pfeiffer</v>
      </c>
      <c r="C117" t="str">
        <f t="shared" si="4"/>
        <v>Drs.</v>
      </c>
      <c r="D117" t="str">
        <f t="shared" si="5"/>
        <v/>
      </c>
      <c r="E117" t="str">
        <f t="shared" si="6"/>
        <v>Weimer/Pfeiffer</v>
      </c>
      <c r="N117" t="str">
        <f>IF(OR(ISNUMBER(SEARCH("weg",[1]Tabelle1!C117&amp;Customers_0!D117)),
          ISNUMBER(SEARCH("gekündigt",Customers_0!C117&amp;Customers_0!D117)),
          ISNUMBER(SEARCH("rente",LOWER(Customers_0!C117&amp;Customers_0!D117)))),
   "INACTIVE",
   "ACTIVE")</f>
        <v>ACTIVE</v>
      </c>
      <c r="O117" t="str">
        <f t="shared" si="7"/>
        <v>PRÜFEN</v>
      </c>
    </row>
    <row r="118" spans="1:15" x14ac:dyDescent="0.2">
      <c r="A118">
        <f>Customers_0!A118</f>
        <v>20522</v>
      </c>
      <c r="B118" t="str">
        <f>IFERROR(MID(Customers_0!B118,1,SEARCH(",",Customers_0!B118)-1),Customers_0!B118)</f>
        <v>Dr. Caglar</v>
      </c>
      <c r="C118" t="str">
        <f t="shared" si="4"/>
        <v>Dr.</v>
      </c>
      <c r="D118" t="str">
        <f t="shared" si="5"/>
        <v/>
      </c>
      <c r="E118" t="str">
        <f t="shared" si="6"/>
        <v>Caglar</v>
      </c>
      <c r="N118" t="str">
        <f>IF(OR(ISNUMBER(SEARCH("weg",[1]Tabelle1!C118&amp;Customers_0!D118)),
          ISNUMBER(SEARCH("gekündigt",Customers_0!C118&amp;Customers_0!D118)),
          ISNUMBER(SEARCH("rente",LOWER(Customers_0!C118&amp;Customers_0!D118)))),
   "INACTIVE",
   "ACTIVE")</f>
        <v>ACTIVE</v>
      </c>
      <c r="O118" t="str">
        <f t="shared" si="7"/>
        <v>OK</v>
      </c>
    </row>
    <row r="119" spans="1:15" x14ac:dyDescent="0.2">
      <c r="A119">
        <f>Customers_0!A119</f>
        <v>20526</v>
      </c>
      <c r="B119" t="str">
        <f>IFERROR(MID(Customers_0!B119,1,SEARCH(",",Customers_0!B119)-1),Customers_0!B119)</f>
        <v>Dr. Ohm</v>
      </c>
      <c r="C119" t="str">
        <f t="shared" si="4"/>
        <v>Dr.</v>
      </c>
      <c r="D119" t="str">
        <f t="shared" si="5"/>
        <v/>
      </c>
      <c r="E119" t="str">
        <f t="shared" si="6"/>
        <v>Ohm</v>
      </c>
      <c r="N119" t="str">
        <f>IF(OR(ISNUMBER(SEARCH("weg",[1]Tabelle1!C119&amp;Customers_0!D119)),
          ISNUMBER(SEARCH("gekündigt",Customers_0!C119&amp;Customers_0!D119)),
          ISNUMBER(SEARCH("rente",LOWER(Customers_0!C119&amp;Customers_0!D119)))),
   "INACTIVE",
   "ACTIVE")</f>
        <v>ACTIVE</v>
      </c>
      <c r="O119" t="str">
        <f t="shared" si="7"/>
        <v>OK</v>
      </c>
    </row>
    <row r="120" spans="1:15" x14ac:dyDescent="0.2">
      <c r="A120">
        <f>Customers_0!A120</f>
        <v>20527</v>
      </c>
      <c r="B120" t="str">
        <f>IFERROR(MID(Customers_0!B120,1,SEARCH(",",Customers_0!B120)-1),Customers_0!B120)</f>
        <v>J. Thiemann</v>
      </c>
      <c r="C120" t="str">
        <f t="shared" si="4"/>
        <v/>
      </c>
      <c r="D120" t="str">
        <f t="shared" si="5"/>
        <v/>
      </c>
      <c r="E120" t="str">
        <f t="shared" si="6"/>
        <v>J. Thiemann</v>
      </c>
      <c r="N120" t="str">
        <f>IF(OR(ISNUMBER(SEARCH("weg",[1]Tabelle1!C120&amp;Customers_0!D120)),
          ISNUMBER(SEARCH("gekündigt",Customers_0!C120&amp;Customers_0!D120)),
          ISNUMBER(SEARCH("rente",LOWER(Customers_0!C120&amp;Customers_0!D120)))),
   "INACTIVE",
   "ACTIVE")</f>
        <v>ACTIVE</v>
      </c>
      <c r="O120" t="str">
        <f t="shared" si="7"/>
        <v>OK</v>
      </c>
    </row>
    <row r="121" spans="1:15" x14ac:dyDescent="0.2">
      <c r="A121">
        <f>Customers_0!A121</f>
        <v>20528</v>
      </c>
      <c r="B121" t="str">
        <f>IFERROR(MID(Customers_0!B121,1,SEARCH(",",Customers_0!B121)-1),Customers_0!B121)</f>
        <v>Dr. H.Harder/ Doering</v>
      </c>
      <c r="C121" t="str">
        <f t="shared" si="4"/>
        <v>Dr.</v>
      </c>
      <c r="D121" t="str">
        <f t="shared" si="5"/>
        <v>H.</v>
      </c>
      <c r="E121" t="str">
        <f t="shared" si="6"/>
        <v>arder/ Doering</v>
      </c>
      <c r="N121" t="str">
        <f>IF(OR(ISNUMBER(SEARCH("weg",[1]Tabelle1!C121&amp;Customers_0!D121)),
          ISNUMBER(SEARCH("gekündigt",Customers_0!C121&amp;Customers_0!D121)),
          ISNUMBER(SEARCH("rente",LOWER(Customers_0!C121&amp;Customers_0!D121)))),
   "INACTIVE",
   "ACTIVE")</f>
        <v>ACTIVE</v>
      </c>
      <c r="O121" t="str">
        <f t="shared" si="7"/>
        <v>PRÜFEN</v>
      </c>
    </row>
    <row r="122" spans="1:15" x14ac:dyDescent="0.2">
      <c r="A122">
        <f>Customers_0!A122</f>
        <v>20530</v>
      </c>
      <c r="B122" t="str">
        <f>IFERROR(MID(Customers_0!B122,1,SEARCH(",",Customers_0!B122)-1),Customers_0!B122)</f>
        <v>Dr.Bachmann/ Herting</v>
      </c>
      <c r="C122" t="str">
        <f t="shared" si="4"/>
        <v>Dr.Bachmann/</v>
      </c>
      <c r="D122" t="str">
        <f t="shared" si="5"/>
        <v/>
      </c>
      <c r="E122" t="str">
        <f t="shared" si="6"/>
        <v>Herting</v>
      </c>
      <c r="N122" t="str">
        <f>IF(OR(ISNUMBER(SEARCH("weg",[1]Tabelle1!C122&amp;Customers_0!D122)),
          ISNUMBER(SEARCH("gekündigt",Customers_0!C122&amp;Customers_0!D122)),
          ISNUMBER(SEARCH("rente",LOWER(Customers_0!C122&amp;Customers_0!D122)))),
   "INACTIVE",
   "ACTIVE")</f>
        <v>INACTIVE</v>
      </c>
      <c r="O122" t="str">
        <f t="shared" si="7"/>
        <v>OK</v>
      </c>
    </row>
    <row r="123" spans="1:15" x14ac:dyDescent="0.2">
      <c r="A123">
        <f>Customers_0!A123</f>
        <v>20533</v>
      </c>
      <c r="B123" t="str">
        <f>IFERROR(MID(Customers_0!B123,1,SEARCH(",",Customers_0!B123)-1),Customers_0!B123)</f>
        <v>A. Fischer</v>
      </c>
      <c r="C123" t="str">
        <f t="shared" si="4"/>
        <v/>
      </c>
      <c r="D123" t="str">
        <f t="shared" si="5"/>
        <v/>
      </c>
      <c r="E123" t="str">
        <f t="shared" si="6"/>
        <v>A. Fischer</v>
      </c>
      <c r="N123" t="str">
        <f>IF(OR(ISNUMBER(SEARCH("weg",[1]Tabelle1!C123&amp;Customers_0!D123)),
          ISNUMBER(SEARCH("gekündigt",Customers_0!C123&amp;Customers_0!D123)),
          ISNUMBER(SEARCH("rente",LOWER(Customers_0!C123&amp;Customers_0!D123)))),
   "INACTIVE",
   "ACTIVE")</f>
        <v>ACTIVE</v>
      </c>
      <c r="O123" t="str">
        <f t="shared" si="7"/>
        <v>OK</v>
      </c>
    </row>
    <row r="124" spans="1:15" x14ac:dyDescent="0.2">
      <c r="A124">
        <f>Customers_0!A124</f>
        <v>20534</v>
      </c>
      <c r="B124" t="str">
        <f>IFERROR(MID(Customers_0!B124,1,SEARCH(",",Customers_0!B124)-1),Customers_0!B124)</f>
        <v>Dres. Bous/Heitkamp</v>
      </c>
      <c r="C124" t="str">
        <f t="shared" si="4"/>
        <v>Dres.</v>
      </c>
      <c r="D124" t="str">
        <f t="shared" si="5"/>
        <v/>
      </c>
      <c r="E124" t="str">
        <f t="shared" si="6"/>
        <v>Bous/Heitkamp</v>
      </c>
      <c r="N124" t="str">
        <f>IF(OR(ISNUMBER(SEARCH("weg",[1]Tabelle1!C124&amp;Customers_0!D124)),
          ISNUMBER(SEARCH("gekündigt",Customers_0!C124&amp;Customers_0!D124)),
          ISNUMBER(SEARCH("rente",LOWER(Customers_0!C124&amp;Customers_0!D124)))),
   "INACTIVE",
   "ACTIVE")</f>
        <v>ACTIVE</v>
      </c>
      <c r="O124" t="str">
        <f t="shared" si="7"/>
        <v>PRÜFEN</v>
      </c>
    </row>
    <row r="125" spans="1:15" x14ac:dyDescent="0.2">
      <c r="A125">
        <f>Customers_0!A125</f>
        <v>20535</v>
      </c>
      <c r="B125" t="str">
        <f>IFERROR(MID(Customers_0!B125,1,SEARCH(",",Customers_0!B125)-1),Customers_0!B125)</f>
        <v>Schülken</v>
      </c>
      <c r="C125" t="str">
        <f t="shared" si="4"/>
        <v/>
      </c>
      <c r="D125" t="str">
        <f t="shared" si="5"/>
        <v/>
      </c>
      <c r="E125" t="str">
        <f t="shared" si="6"/>
        <v>Schülken</v>
      </c>
      <c r="N125" t="str">
        <f>IF(OR(ISNUMBER(SEARCH("weg",[1]Tabelle1!C125&amp;Customers_0!D125)),
          ISNUMBER(SEARCH("gekündigt",Customers_0!C125&amp;Customers_0!D125)),
          ISNUMBER(SEARCH("rente",LOWER(Customers_0!C125&amp;Customers_0!D125)))),
   "INACTIVE",
   "ACTIVE")</f>
        <v>ACTIVE</v>
      </c>
      <c r="O125" t="str">
        <f t="shared" si="7"/>
        <v>OK</v>
      </c>
    </row>
    <row r="126" spans="1:15" x14ac:dyDescent="0.2">
      <c r="A126">
        <f>Customers_0!A126</f>
        <v>20536</v>
      </c>
      <c r="B126" t="str">
        <f>IFERROR(MID(Customers_0!B126,1,SEARCH(",",Customers_0!B126)-1),Customers_0!B126)</f>
        <v>Dres. Burhorn/Ruthke</v>
      </c>
      <c r="C126" t="str">
        <f t="shared" si="4"/>
        <v>Dres.</v>
      </c>
      <c r="D126" t="str">
        <f t="shared" si="5"/>
        <v/>
      </c>
      <c r="E126" t="str">
        <f t="shared" si="6"/>
        <v>Burhorn/Ruthke</v>
      </c>
      <c r="N126" t="str">
        <f>IF(OR(ISNUMBER(SEARCH("weg",[1]Tabelle1!C126&amp;Customers_0!D126)),
          ISNUMBER(SEARCH("gekündigt",Customers_0!C126&amp;Customers_0!D126)),
          ISNUMBER(SEARCH("rente",LOWER(Customers_0!C126&amp;Customers_0!D126)))),
   "INACTIVE",
   "ACTIVE")</f>
        <v>ACTIVE</v>
      </c>
      <c r="O126" t="str">
        <f t="shared" si="7"/>
        <v>PRÜFEN</v>
      </c>
    </row>
    <row r="127" spans="1:15" x14ac:dyDescent="0.2">
      <c r="A127">
        <f>Customers_0!A127</f>
        <v>20537</v>
      </c>
      <c r="B127" t="str">
        <f>IFERROR(MID(Customers_0!B127,1,SEARCH(",",Customers_0!B127)-1),Customers_0!B127)</f>
        <v>Dr. Nehrig</v>
      </c>
      <c r="C127" t="str">
        <f t="shared" si="4"/>
        <v>Dr.</v>
      </c>
      <c r="D127" t="str">
        <f t="shared" si="5"/>
        <v/>
      </c>
      <c r="E127" t="str">
        <f t="shared" si="6"/>
        <v>Nehrig</v>
      </c>
      <c r="N127" t="str">
        <f>IF(OR(ISNUMBER(SEARCH("weg",[1]Tabelle1!C127&amp;Customers_0!D127)),
          ISNUMBER(SEARCH("gekündigt",Customers_0!C127&amp;Customers_0!D127)),
          ISNUMBER(SEARCH("rente",LOWER(Customers_0!C127&amp;Customers_0!D127)))),
   "INACTIVE",
   "ACTIVE")</f>
        <v>INACTIVE</v>
      </c>
      <c r="O127" t="str">
        <f t="shared" si="7"/>
        <v>OK</v>
      </c>
    </row>
    <row r="128" spans="1:15" x14ac:dyDescent="0.2">
      <c r="A128">
        <f>Customers_0!A128</f>
        <v>20540</v>
      </c>
      <c r="B128" t="str">
        <f>IFERROR(MID(Customers_0!B128,1,SEARCH(",",Customers_0!B128)-1),Customers_0!B128)</f>
        <v>Dr.S. Roos</v>
      </c>
      <c r="C128" t="str">
        <f t="shared" si="4"/>
        <v>Dr.S.</v>
      </c>
      <c r="D128" t="str">
        <f t="shared" si="5"/>
        <v/>
      </c>
      <c r="E128" t="str">
        <f t="shared" si="6"/>
        <v>Roos</v>
      </c>
      <c r="N128" t="str">
        <f>IF(OR(ISNUMBER(SEARCH("weg",[1]Tabelle1!C128&amp;Customers_0!D128)),
          ISNUMBER(SEARCH("gekündigt",Customers_0!C128&amp;Customers_0!D128)),
          ISNUMBER(SEARCH("rente",LOWER(Customers_0!C128&amp;Customers_0!D128)))),
   "INACTIVE",
   "ACTIVE")</f>
        <v>INACTIVE</v>
      </c>
      <c r="O128" t="str">
        <f t="shared" si="7"/>
        <v>OK</v>
      </c>
    </row>
    <row r="129" spans="1:15" x14ac:dyDescent="0.2">
      <c r="A129">
        <f>Customers_0!A129</f>
        <v>20541</v>
      </c>
      <c r="B129" t="str">
        <f>IFERROR(MID(Customers_0!B129,1,SEARCH(",",Customers_0!B129)-1),Customers_0!B129)</f>
        <v>Drs.Boettcher/Höller</v>
      </c>
      <c r="C129" t="str">
        <f t="shared" si="4"/>
        <v/>
      </c>
      <c r="D129" t="str">
        <f t="shared" si="5"/>
        <v/>
      </c>
      <c r="E129" t="str">
        <f t="shared" si="6"/>
        <v>Drs.Boettcher/Höller</v>
      </c>
      <c r="N129" t="str">
        <f>IF(OR(ISNUMBER(SEARCH("weg",[1]Tabelle1!C129&amp;Customers_0!D129)),
          ISNUMBER(SEARCH("gekündigt",Customers_0!C129&amp;Customers_0!D129)),
          ISNUMBER(SEARCH("rente",LOWER(Customers_0!C129&amp;Customers_0!D129)))),
   "INACTIVE",
   "ACTIVE")</f>
        <v>ACTIVE</v>
      </c>
      <c r="O129" t="str">
        <f t="shared" si="7"/>
        <v>PRÜFEN</v>
      </c>
    </row>
    <row r="130" spans="1:15" x14ac:dyDescent="0.2">
      <c r="A130">
        <f>Customers_0!A130</f>
        <v>20546</v>
      </c>
      <c r="B130" t="str">
        <f>IFERROR(MID(Customers_0!B130,1,SEARCH(",",Customers_0!B130)-1),Customers_0!B130)</f>
        <v>Dres. Ortmann /Krah/Wirt</v>
      </c>
      <c r="C130" t="str">
        <f t="shared" ref="C130:C193" si="8">IFERROR(
 IF(OR(
   LEFT(B130,3)="Dr.",
   LEFT(B130,2)="Dr",
   LEFT(B130,4)="Dres",
   LEFT(B130,5)="Dres.",
   LEFT(B130,4)="Prof",
   LEFT(B130,5)="Prof.",
   LEFT(B130,3)="PD ",
   LEFT(B130,7)="Priv.-D"
 ),
  LEFT(B130,SEARCH(" ",B130)-1),
  ""
 ),
"")</f>
        <v>Dres.</v>
      </c>
      <c r="D130" t="str">
        <f t="shared" ref="D130:D193" si="9">IFERROR(
 IF(C130="",
  "",
  IF(ISNUMBER(SEARCH(".",MID(B130,LEN(C130)+2,3))),
    MID(B130,LEN(C130)+2,2),
    ""
  )
 ),
"")</f>
        <v/>
      </c>
      <c r="E130" t="str">
        <f t="shared" ref="E130:E193" si="10">IFERROR(
 TRIM(
   IF(C130="",
        IF(ISNUMBER(SEARCH(",",B130)), LEFT(B130,SEARCH(",",B130)-1), B130),
        IF(D130="",
             TRIM(MID(B130, LEN(C130)+2, 999)),
             TRIM(MID(B130, LEN(C130&amp;" "&amp;D130)+2, 999))
        )
   )
 ),
""
)</f>
        <v>Ortmann /Krah/Wirt</v>
      </c>
      <c r="N130" t="str">
        <f>IF(OR(ISNUMBER(SEARCH("weg",[1]Tabelle1!C130&amp;Customers_0!D130)),
          ISNUMBER(SEARCH("gekündigt",Customers_0!C130&amp;Customers_0!D130)),
          ISNUMBER(SEARCH("rente",LOWER(Customers_0!C130&amp;Customers_0!D130)))),
   "INACTIVE",
   "ACTIVE")</f>
        <v>ACTIVE</v>
      </c>
      <c r="O130" t="str">
        <f t="shared" ref="O130:O193" si="11">IF(OR(
   ISERROR(D130),
   ISERROR(E130),
   ISNUMBER(SEARCH("/",E130)),
   ISNUMBER(SEARCH("-",E130))
 ),"PRÜFEN","OK")</f>
        <v>PRÜFEN</v>
      </c>
    </row>
    <row r="131" spans="1:15" x14ac:dyDescent="0.2">
      <c r="A131">
        <f>Customers_0!A131</f>
        <v>20548</v>
      </c>
      <c r="B131" t="str">
        <f>IFERROR(MID(Customers_0!B131,1,SEARCH(",",Customers_0!B131)-1),Customers_0!B131)</f>
        <v>Praxisgem.Lilienthal/Kessler/Heupel</v>
      </c>
      <c r="C131" t="str">
        <f t="shared" si="8"/>
        <v/>
      </c>
      <c r="D131" t="str">
        <f t="shared" si="9"/>
        <v/>
      </c>
      <c r="E131" t="str">
        <f t="shared" si="10"/>
        <v>Praxisgem.Lilienthal/Kessler/Heupel</v>
      </c>
      <c r="N131" t="str">
        <f>IF(OR(ISNUMBER(SEARCH("weg",[1]Tabelle1!C131&amp;Customers_0!D131)),
          ISNUMBER(SEARCH("gekündigt",Customers_0!C131&amp;Customers_0!D131)),
          ISNUMBER(SEARCH("rente",LOWER(Customers_0!C131&amp;Customers_0!D131)))),
   "INACTIVE",
   "ACTIVE")</f>
        <v>ACTIVE</v>
      </c>
      <c r="O131" t="str">
        <f t="shared" si="11"/>
        <v>PRÜFEN</v>
      </c>
    </row>
    <row r="132" spans="1:15" x14ac:dyDescent="0.2">
      <c r="A132">
        <f>Customers_0!A132</f>
        <v>20550</v>
      </c>
      <c r="B132" t="str">
        <f>IFERROR(MID(Customers_0!B132,1,SEARCH(",",Customers_0!B132)-1),Customers_0!B132)</f>
        <v>Dres.Blum/ Traum</v>
      </c>
      <c r="C132" t="str">
        <f t="shared" si="8"/>
        <v>Dres.Blum/</v>
      </c>
      <c r="D132" t="str">
        <f t="shared" si="9"/>
        <v/>
      </c>
      <c r="E132" t="str">
        <f t="shared" si="10"/>
        <v>Traum</v>
      </c>
      <c r="N132" t="str">
        <f>IF(OR(ISNUMBER(SEARCH("weg",[1]Tabelle1!C132&amp;Customers_0!D132)),
          ISNUMBER(SEARCH("gekündigt",Customers_0!C132&amp;Customers_0!D132)),
          ISNUMBER(SEARCH("rente",LOWER(Customers_0!C132&amp;Customers_0!D132)))),
   "INACTIVE",
   "ACTIVE")</f>
        <v>ACTIVE</v>
      </c>
      <c r="O132" t="str">
        <f t="shared" si="11"/>
        <v>OK</v>
      </c>
    </row>
    <row r="133" spans="1:15" x14ac:dyDescent="0.2">
      <c r="A133">
        <f>Customers_0!A133</f>
        <v>20551</v>
      </c>
      <c r="B133" t="str">
        <f>IFERROR(MID(Customers_0!B133,1,SEARCH(",",Customers_0!B133)-1),Customers_0!B133)</f>
        <v>Dres.Wunberg/ Luib</v>
      </c>
      <c r="C133" t="str">
        <f t="shared" si="8"/>
        <v>Dres.Wunberg/</v>
      </c>
      <c r="D133" t="str">
        <f t="shared" si="9"/>
        <v/>
      </c>
      <c r="E133" t="str">
        <f t="shared" si="10"/>
        <v>Luib</v>
      </c>
      <c r="N133" t="str">
        <f>IF(OR(ISNUMBER(SEARCH("weg",[1]Tabelle1!C133&amp;Customers_0!D133)),
          ISNUMBER(SEARCH("gekündigt",Customers_0!C133&amp;Customers_0!D133)),
          ISNUMBER(SEARCH("rente",LOWER(Customers_0!C133&amp;Customers_0!D133)))),
   "INACTIVE",
   "ACTIVE")</f>
        <v>ACTIVE</v>
      </c>
      <c r="O133" t="str">
        <f t="shared" si="11"/>
        <v>OK</v>
      </c>
    </row>
    <row r="134" spans="1:15" x14ac:dyDescent="0.2">
      <c r="A134">
        <f>Customers_0!A134</f>
        <v>20552</v>
      </c>
      <c r="B134" t="str">
        <f>IFERROR(MID(Customers_0!B134,1,SEARCH(",",Customers_0!B134)-1),Customers_0!B134)</f>
        <v>Dres. Bockhorst/ Dominicus</v>
      </c>
      <c r="C134" t="str">
        <f t="shared" si="8"/>
        <v>Dres.</v>
      </c>
      <c r="D134" t="str">
        <f t="shared" si="9"/>
        <v/>
      </c>
      <c r="E134" t="str">
        <f t="shared" si="10"/>
        <v>Bockhorst/ Dominicus</v>
      </c>
      <c r="N134" t="str">
        <f>IF(OR(ISNUMBER(SEARCH("weg",[1]Tabelle1!C134&amp;Customers_0!D134)),
          ISNUMBER(SEARCH("gekündigt",Customers_0!C134&amp;Customers_0!D134)),
          ISNUMBER(SEARCH("rente",LOWER(Customers_0!C134&amp;Customers_0!D134)))),
   "INACTIVE",
   "ACTIVE")</f>
        <v>ACTIVE</v>
      </c>
      <c r="O134" t="str">
        <f t="shared" si="11"/>
        <v>PRÜFEN</v>
      </c>
    </row>
    <row r="135" spans="1:15" x14ac:dyDescent="0.2">
      <c r="A135">
        <f>Customers_0!A135</f>
        <v>20553</v>
      </c>
      <c r="B135" t="str">
        <f>IFERROR(MID(Customers_0!B135,1,SEARCH(",",Customers_0!B135)-1),Customers_0!B135)</f>
        <v>Dres Brandt/ Brinkmann</v>
      </c>
      <c r="C135" t="str">
        <f t="shared" si="8"/>
        <v>Dres</v>
      </c>
      <c r="D135" t="str">
        <f t="shared" si="9"/>
        <v/>
      </c>
      <c r="E135" t="str">
        <f t="shared" si="10"/>
        <v>Brandt/ Brinkmann</v>
      </c>
      <c r="N135" t="str">
        <f>IF(OR(ISNUMBER(SEARCH("weg",[1]Tabelle1!C135&amp;Customers_0!D135)),
          ISNUMBER(SEARCH("gekündigt",Customers_0!C135&amp;Customers_0!D135)),
          ISNUMBER(SEARCH("rente",LOWER(Customers_0!C135&amp;Customers_0!D135)))),
   "INACTIVE",
   "ACTIVE")</f>
        <v>ACTIVE</v>
      </c>
      <c r="O135" t="str">
        <f t="shared" si="11"/>
        <v>PRÜFEN</v>
      </c>
    </row>
    <row r="136" spans="1:15" x14ac:dyDescent="0.2">
      <c r="A136">
        <f>Customers_0!A136</f>
        <v>20554</v>
      </c>
      <c r="B136" t="str">
        <f>IFERROR(MID(Customers_0!B136,1,SEARCH(",",Customers_0!B136)-1),Customers_0!B136)</f>
        <v>Prüfarztzentrum</v>
      </c>
      <c r="C136" t="str">
        <f t="shared" si="8"/>
        <v/>
      </c>
      <c r="D136" t="str">
        <f t="shared" si="9"/>
        <v/>
      </c>
      <c r="E136" t="str">
        <f t="shared" si="10"/>
        <v>Prüfarztzentrum</v>
      </c>
      <c r="N136" t="str">
        <f>IF(OR(ISNUMBER(SEARCH("weg",[1]Tabelle1!C136&amp;Customers_0!D136)),
          ISNUMBER(SEARCH("gekündigt",Customers_0!C136&amp;Customers_0!D136)),
          ISNUMBER(SEARCH("rente",LOWER(Customers_0!C136&amp;Customers_0!D136)))),
   "INACTIVE",
   "ACTIVE")</f>
        <v>ACTIVE</v>
      </c>
      <c r="O136" t="str">
        <f t="shared" si="11"/>
        <v>OK</v>
      </c>
    </row>
    <row r="137" spans="1:15" x14ac:dyDescent="0.2">
      <c r="A137">
        <f>Customers_0!A137</f>
        <v>20555</v>
      </c>
      <c r="B137" t="str">
        <f>IFERROR(MID(Customers_0!B137,1,SEARCH(",",Customers_0!B137)-1),Customers_0!B137)</f>
        <v>Dres.Krabbe/Burth</v>
      </c>
      <c r="C137" t="str">
        <f t="shared" si="8"/>
        <v/>
      </c>
      <c r="D137" t="str">
        <f t="shared" si="9"/>
        <v/>
      </c>
      <c r="E137" t="str">
        <f t="shared" si="10"/>
        <v>Dres.Krabbe/Burth</v>
      </c>
      <c r="N137" t="str">
        <f>IF(OR(ISNUMBER(SEARCH("weg",[1]Tabelle1!C137&amp;Customers_0!D137)),
          ISNUMBER(SEARCH("gekündigt",Customers_0!C137&amp;Customers_0!D137)),
          ISNUMBER(SEARCH("rente",LOWER(Customers_0!C137&amp;Customers_0!D137)))),
   "INACTIVE",
   "ACTIVE")</f>
        <v>ACTIVE</v>
      </c>
      <c r="O137" t="str">
        <f t="shared" si="11"/>
        <v>PRÜFEN</v>
      </c>
    </row>
    <row r="138" spans="1:15" x14ac:dyDescent="0.2">
      <c r="A138">
        <f>Customers_0!A138</f>
        <v>20556</v>
      </c>
      <c r="B138" t="str">
        <f>IFERROR(MID(Customers_0!B138,1,SEARCH(",",Customers_0!B138)-1),Customers_0!B138)</f>
        <v>Dr. Morgen</v>
      </c>
      <c r="C138" t="str">
        <f t="shared" si="8"/>
        <v>Dr.</v>
      </c>
      <c r="D138" t="str">
        <f t="shared" si="9"/>
        <v/>
      </c>
      <c r="E138" t="str">
        <f t="shared" si="10"/>
        <v>Morgen</v>
      </c>
      <c r="N138" t="str">
        <f>IF(OR(ISNUMBER(SEARCH("weg",[1]Tabelle1!C138&amp;Customers_0!D138)),
          ISNUMBER(SEARCH("gekündigt",Customers_0!C138&amp;Customers_0!D138)),
          ISNUMBER(SEARCH("rente",LOWER(Customers_0!C138&amp;Customers_0!D138)))),
   "INACTIVE",
   "ACTIVE")</f>
        <v>ACTIVE</v>
      </c>
      <c r="O138" t="str">
        <f t="shared" si="11"/>
        <v>OK</v>
      </c>
    </row>
    <row r="139" spans="1:15" x14ac:dyDescent="0.2">
      <c r="A139">
        <f>Customers_0!A139</f>
        <v>20557</v>
      </c>
      <c r="B139" t="str">
        <f>IFERROR(MID(Customers_0!B139,1,SEARCH(",",Customers_0!B139)-1),Customers_0!B139)</f>
        <v>Dres. Riehle/ Mader</v>
      </c>
      <c r="C139" t="str">
        <f t="shared" si="8"/>
        <v>Dres.</v>
      </c>
      <c r="D139" t="str">
        <f t="shared" si="9"/>
        <v/>
      </c>
      <c r="E139" t="str">
        <f t="shared" si="10"/>
        <v>Riehle/ Mader</v>
      </c>
      <c r="N139" t="str">
        <f>IF(OR(ISNUMBER(SEARCH("weg",[1]Tabelle1!C139&amp;Customers_0!D139)),
          ISNUMBER(SEARCH("gekündigt",Customers_0!C139&amp;Customers_0!D139)),
          ISNUMBER(SEARCH("rente",LOWER(Customers_0!C139&amp;Customers_0!D139)))),
   "INACTIVE",
   "ACTIVE")</f>
        <v>ACTIVE</v>
      </c>
      <c r="O139" t="str">
        <f t="shared" si="11"/>
        <v>PRÜFEN</v>
      </c>
    </row>
    <row r="140" spans="1:15" x14ac:dyDescent="0.2">
      <c r="A140">
        <f>Customers_0!A140</f>
        <v>20560</v>
      </c>
      <c r="B140" t="str">
        <f>IFERROR(MID(Customers_0!B140,1,SEARCH(",",Customers_0!B140)-1),Customers_0!B140)</f>
        <v>Dr. W. Ensle</v>
      </c>
      <c r="C140" t="str">
        <f t="shared" si="8"/>
        <v>Dr.</v>
      </c>
      <c r="D140" t="str">
        <f t="shared" si="9"/>
        <v>W.</v>
      </c>
      <c r="E140" t="str">
        <f t="shared" si="10"/>
        <v>Ensle</v>
      </c>
      <c r="N140" t="str">
        <f>IF(OR(ISNUMBER(SEARCH("weg",[1]Tabelle1!C140&amp;Customers_0!D140)),
          ISNUMBER(SEARCH("gekündigt",Customers_0!C140&amp;Customers_0!D140)),
          ISNUMBER(SEARCH("rente",LOWER(Customers_0!C140&amp;Customers_0!D140)))),
   "INACTIVE",
   "ACTIVE")</f>
        <v>INACTIVE</v>
      </c>
      <c r="O140" t="str">
        <f t="shared" si="11"/>
        <v>OK</v>
      </c>
    </row>
    <row r="141" spans="1:15" x14ac:dyDescent="0.2">
      <c r="A141">
        <f>Customers_0!A141</f>
        <v>20561</v>
      </c>
      <c r="B141" t="str">
        <f>IFERROR(MID(Customers_0!B141,1,SEARCH(",",Customers_0!B141)-1),Customers_0!B141)</f>
        <v>Dres.Onken/Schultz/Thoma</v>
      </c>
      <c r="C141" t="str">
        <f t="shared" si="8"/>
        <v/>
      </c>
      <c r="D141" t="str">
        <f t="shared" si="9"/>
        <v/>
      </c>
      <c r="E141" t="str">
        <f t="shared" si="10"/>
        <v>Dres.Onken/Schultz/Thoma</v>
      </c>
      <c r="N141" t="str">
        <f>IF(OR(ISNUMBER(SEARCH("weg",[1]Tabelle1!C141&amp;Customers_0!D141)),
          ISNUMBER(SEARCH("gekündigt",Customers_0!C141&amp;Customers_0!D141)),
          ISNUMBER(SEARCH("rente",LOWER(Customers_0!C141&amp;Customers_0!D141)))),
   "INACTIVE",
   "ACTIVE")</f>
        <v>ACTIVE</v>
      </c>
      <c r="O141" t="str">
        <f t="shared" si="11"/>
        <v>PRÜFEN</v>
      </c>
    </row>
    <row r="142" spans="1:15" x14ac:dyDescent="0.2">
      <c r="A142">
        <f>Customers_0!A142</f>
        <v>20562</v>
      </c>
      <c r="B142" t="str">
        <f>IFERROR(MID(Customers_0!B142,1,SEARCH(",",Customers_0!B142)-1),Customers_0!B142)</f>
        <v>Dr. Forche</v>
      </c>
      <c r="C142" t="str">
        <f t="shared" si="8"/>
        <v>Dr.</v>
      </c>
      <c r="D142" t="str">
        <f t="shared" si="9"/>
        <v/>
      </c>
      <c r="E142" t="str">
        <f t="shared" si="10"/>
        <v>Forche</v>
      </c>
      <c r="N142" t="str">
        <f>IF(OR(ISNUMBER(SEARCH("weg",[1]Tabelle1!C142&amp;Customers_0!D142)),
          ISNUMBER(SEARCH("gekündigt",Customers_0!C142&amp;Customers_0!D142)),
          ISNUMBER(SEARCH("rente",LOWER(Customers_0!C142&amp;Customers_0!D142)))),
   "INACTIVE",
   "ACTIVE")</f>
        <v>ACTIVE</v>
      </c>
      <c r="O142" t="str">
        <f t="shared" si="11"/>
        <v>OK</v>
      </c>
    </row>
    <row r="143" spans="1:15" x14ac:dyDescent="0.2">
      <c r="A143">
        <f>Customers_0!A143</f>
        <v>20565</v>
      </c>
      <c r="B143" t="str">
        <f>IFERROR(MID(Customers_0!B143,1,SEARCH(",",Customers_0!B143)-1),Customers_0!B143)</f>
        <v>Dres.Rauscher/Steinert</v>
      </c>
      <c r="C143" t="str">
        <f t="shared" si="8"/>
        <v/>
      </c>
      <c r="D143" t="str">
        <f t="shared" si="9"/>
        <v/>
      </c>
      <c r="E143" t="str">
        <f t="shared" si="10"/>
        <v>Dres.Rauscher/Steinert</v>
      </c>
      <c r="N143" t="str">
        <f>IF(OR(ISNUMBER(SEARCH("weg",[1]Tabelle1!C143&amp;Customers_0!D143)),
          ISNUMBER(SEARCH("gekündigt",Customers_0!C143&amp;Customers_0!D143)),
          ISNUMBER(SEARCH("rente",LOWER(Customers_0!C143&amp;Customers_0!D143)))),
   "INACTIVE",
   "ACTIVE")</f>
        <v>ACTIVE</v>
      </c>
      <c r="O143" t="str">
        <f t="shared" si="11"/>
        <v>PRÜFEN</v>
      </c>
    </row>
    <row r="144" spans="1:15" x14ac:dyDescent="0.2">
      <c r="A144">
        <f>Customers_0!A144</f>
        <v>20566</v>
      </c>
      <c r="B144" t="str">
        <f>IFERROR(MID(Customers_0!B144,1,SEARCH(",",Customers_0!B144)-1),Customers_0!B144)</f>
        <v>Dr.Morsch-Mayer</v>
      </c>
      <c r="C144" t="str">
        <f t="shared" si="8"/>
        <v/>
      </c>
      <c r="D144" t="str">
        <f t="shared" si="9"/>
        <v/>
      </c>
      <c r="E144" t="str">
        <f t="shared" si="10"/>
        <v>Dr.Morsch-Mayer</v>
      </c>
      <c r="N144" t="str">
        <f>IF(OR(ISNUMBER(SEARCH("weg",[1]Tabelle1!C144&amp;Customers_0!D144)),
          ISNUMBER(SEARCH("gekündigt",Customers_0!C144&amp;Customers_0!D144)),
          ISNUMBER(SEARCH("rente",LOWER(Customers_0!C144&amp;Customers_0!D144)))),
   "INACTIVE",
   "ACTIVE")</f>
        <v>ACTIVE</v>
      </c>
      <c r="O144" t="str">
        <f t="shared" si="11"/>
        <v>PRÜFEN</v>
      </c>
    </row>
    <row r="145" spans="1:15" x14ac:dyDescent="0.2">
      <c r="A145">
        <f>Customers_0!A145</f>
        <v>20575</v>
      </c>
      <c r="B145" t="str">
        <f>IFERROR(MID(Customers_0!B145,1,SEARCH(",",Customers_0!B145)-1),Customers_0!B145)</f>
        <v>Dres. Völker</v>
      </c>
      <c r="C145" t="str">
        <f t="shared" si="8"/>
        <v>Dres.</v>
      </c>
      <c r="D145" t="str">
        <f t="shared" si="9"/>
        <v/>
      </c>
      <c r="E145" t="str">
        <f t="shared" si="10"/>
        <v>Völker</v>
      </c>
      <c r="N145" t="str">
        <f>IF(OR(ISNUMBER(SEARCH("weg",[1]Tabelle1!C145&amp;Customers_0!D145)),
          ISNUMBER(SEARCH("gekündigt",Customers_0!C145&amp;Customers_0!D145)),
          ISNUMBER(SEARCH("rente",LOWER(Customers_0!C145&amp;Customers_0!D145)))),
   "INACTIVE",
   "ACTIVE")</f>
        <v>ACTIVE</v>
      </c>
      <c r="O145" t="str">
        <f t="shared" si="11"/>
        <v>OK</v>
      </c>
    </row>
    <row r="146" spans="1:15" x14ac:dyDescent="0.2">
      <c r="A146">
        <f>Customers_0!A146</f>
        <v>20576</v>
      </c>
      <c r="B146" t="str">
        <f>IFERROR(MID(Customers_0!B146,1,SEARCH(",",Customers_0!B146)-1),Customers_0!B146)</f>
        <v>Dr. Foerster</v>
      </c>
      <c r="C146" t="str">
        <f t="shared" si="8"/>
        <v>Dr.</v>
      </c>
      <c r="D146" t="str">
        <f t="shared" si="9"/>
        <v/>
      </c>
      <c r="E146" t="str">
        <f t="shared" si="10"/>
        <v>Foerster</v>
      </c>
      <c r="N146" t="str">
        <f>IF(OR(ISNUMBER(SEARCH("weg",[1]Tabelle1!C146&amp;Customers_0!D146)),
          ISNUMBER(SEARCH("gekündigt",Customers_0!C146&amp;Customers_0!D146)),
          ISNUMBER(SEARCH("rente",LOWER(Customers_0!C146&amp;Customers_0!D146)))),
   "INACTIVE",
   "ACTIVE")</f>
        <v>ACTIVE</v>
      </c>
      <c r="O146" t="str">
        <f t="shared" si="11"/>
        <v>OK</v>
      </c>
    </row>
    <row r="147" spans="1:15" x14ac:dyDescent="0.2">
      <c r="A147">
        <f>Customers_0!A147</f>
        <v>20578</v>
      </c>
      <c r="B147" t="str">
        <f>IFERROR(MID(Customers_0!B147,1,SEARCH(",",Customers_0!B147)-1),Customers_0!B147)</f>
        <v>Dres. Kolandt/Koßbiehl</v>
      </c>
      <c r="C147" t="str">
        <f t="shared" si="8"/>
        <v>Dres.</v>
      </c>
      <c r="D147" t="str">
        <f t="shared" si="9"/>
        <v/>
      </c>
      <c r="E147" t="str">
        <f t="shared" si="10"/>
        <v>Kolandt/Koßbiehl</v>
      </c>
      <c r="N147" t="str">
        <f>IF(OR(ISNUMBER(SEARCH("weg",[1]Tabelle1!C147&amp;Customers_0!D147)),
          ISNUMBER(SEARCH("gekündigt",Customers_0!C147&amp;Customers_0!D147)),
          ISNUMBER(SEARCH("rente",LOWER(Customers_0!C147&amp;Customers_0!D147)))),
   "INACTIVE",
   "ACTIVE")</f>
        <v>ACTIVE</v>
      </c>
      <c r="O147" t="str">
        <f t="shared" si="11"/>
        <v>PRÜFEN</v>
      </c>
    </row>
    <row r="148" spans="1:15" x14ac:dyDescent="0.2">
      <c r="A148">
        <f>Customers_0!A148</f>
        <v>20579</v>
      </c>
      <c r="B148" t="str">
        <f>IFERROR(MID(Customers_0!B148,1,SEARCH(",",Customers_0!B148)-1),Customers_0!B148)</f>
        <v>Dr. Walter</v>
      </c>
      <c r="C148" t="str">
        <f t="shared" si="8"/>
        <v>Dr.</v>
      </c>
      <c r="D148" t="str">
        <f t="shared" si="9"/>
        <v/>
      </c>
      <c r="E148" t="str">
        <f t="shared" si="10"/>
        <v>Walter</v>
      </c>
      <c r="N148" t="str">
        <f>IF(OR(ISNUMBER(SEARCH("weg",[1]Tabelle1!C148&amp;Customers_0!D148)),
          ISNUMBER(SEARCH("gekündigt",Customers_0!C148&amp;Customers_0!D148)),
          ISNUMBER(SEARCH("rente",LOWER(Customers_0!C148&amp;Customers_0!D148)))),
   "INACTIVE",
   "ACTIVE")</f>
        <v>ACTIVE</v>
      </c>
      <c r="O148" t="str">
        <f t="shared" si="11"/>
        <v>OK</v>
      </c>
    </row>
    <row r="149" spans="1:15" x14ac:dyDescent="0.2">
      <c r="A149">
        <f>Customers_0!A149</f>
        <v>20582</v>
      </c>
      <c r="B149" t="str">
        <f>IFERROR(MID(Customers_0!B149,1,SEARCH(",",Customers_0!B149)-1),Customers_0!B149)</f>
        <v>Dr. Wolf</v>
      </c>
      <c r="C149" t="str">
        <f t="shared" si="8"/>
        <v>Dr.</v>
      </c>
      <c r="D149" t="str">
        <f t="shared" si="9"/>
        <v/>
      </c>
      <c r="E149" t="str">
        <f t="shared" si="10"/>
        <v>Wolf</v>
      </c>
      <c r="N149" t="str">
        <f>IF(OR(ISNUMBER(SEARCH("weg",[1]Tabelle1!C149&amp;Customers_0!D149)),
          ISNUMBER(SEARCH("gekündigt",Customers_0!C149&amp;Customers_0!D149)),
          ISNUMBER(SEARCH("rente",LOWER(Customers_0!C149&amp;Customers_0!D149)))),
   "INACTIVE",
   "ACTIVE")</f>
        <v>ACTIVE</v>
      </c>
      <c r="O149" t="str">
        <f t="shared" si="11"/>
        <v>OK</v>
      </c>
    </row>
    <row r="150" spans="1:15" x14ac:dyDescent="0.2">
      <c r="A150">
        <f>Customers_0!A150</f>
        <v>20583</v>
      </c>
      <c r="B150" t="str">
        <f>IFERROR(MID(Customers_0!B150,1,SEARCH(",",Customers_0!B150)-1),Customers_0!B150)</f>
        <v>Peter Rapp</v>
      </c>
      <c r="C150" t="str">
        <f t="shared" si="8"/>
        <v/>
      </c>
      <c r="D150" t="str">
        <f t="shared" si="9"/>
        <v/>
      </c>
      <c r="E150" t="str">
        <f t="shared" si="10"/>
        <v>Peter Rapp</v>
      </c>
      <c r="N150" t="str">
        <f>IF(OR(ISNUMBER(SEARCH("weg",[1]Tabelle1!C150&amp;Customers_0!D150)),
          ISNUMBER(SEARCH("gekündigt",Customers_0!C150&amp;Customers_0!D150)),
          ISNUMBER(SEARCH("rente",LOWER(Customers_0!C150&amp;Customers_0!D150)))),
   "INACTIVE",
   "ACTIVE")</f>
        <v>INACTIVE</v>
      </c>
      <c r="O150" t="str">
        <f t="shared" si="11"/>
        <v>OK</v>
      </c>
    </row>
    <row r="151" spans="1:15" x14ac:dyDescent="0.2">
      <c r="A151">
        <f>Customers_0!A151</f>
        <v>20584</v>
      </c>
      <c r="B151" t="str">
        <f>IFERROR(MID(Customers_0!B151,1,SEARCH(",",Customers_0!B151)-1),Customers_0!B151)</f>
        <v>Dr.Schuler</v>
      </c>
      <c r="C151" t="str">
        <f t="shared" si="8"/>
        <v/>
      </c>
      <c r="D151" t="str">
        <f t="shared" si="9"/>
        <v/>
      </c>
      <c r="E151" t="str">
        <f t="shared" si="10"/>
        <v>Dr.Schuler</v>
      </c>
      <c r="N151" t="str">
        <f>IF(OR(ISNUMBER(SEARCH("weg",[1]Tabelle1!C151&amp;Customers_0!D151)),
          ISNUMBER(SEARCH("gekündigt",Customers_0!C151&amp;Customers_0!D151)),
          ISNUMBER(SEARCH("rente",LOWER(Customers_0!C151&amp;Customers_0!D151)))),
   "INACTIVE",
   "ACTIVE")</f>
        <v>INACTIVE</v>
      </c>
      <c r="O151" t="str">
        <f t="shared" si="11"/>
        <v>OK</v>
      </c>
    </row>
    <row r="152" spans="1:15" x14ac:dyDescent="0.2">
      <c r="A152">
        <f>Customers_0!A152</f>
        <v>20585</v>
      </c>
      <c r="B152" t="str">
        <f>IFERROR(MID(Customers_0!B152,1,SEARCH(",",Customers_0!B152)-1),Customers_0!B152)</f>
        <v>Stammer/ Laube</v>
      </c>
      <c r="C152" t="str">
        <f t="shared" si="8"/>
        <v/>
      </c>
      <c r="D152" t="str">
        <f t="shared" si="9"/>
        <v/>
      </c>
      <c r="E152" t="str">
        <f t="shared" si="10"/>
        <v>Stammer/ Laube</v>
      </c>
      <c r="N152" t="str">
        <f>IF(OR(ISNUMBER(SEARCH("weg",[1]Tabelle1!C152&amp;Customers_0!D152)),
          ISNUMBER(SEARCH("gekündigt",Customers_0!C152&amp;Customers_0!D152)),
          ISNUMBER(SEARCH("rente",LOWER(Customers_0!C152&amp;Customers_0!D152)))),
   "INACTIVE",
   "ACTIVE")</f>
        <v>ACTIVE</v>
      </c>
      <c r="O152" t="str">
        <f t="shared" si="11"/>
        <v>PRÜFEN</v>
      </c>
    </row>
    <row r="153" spans="1:15" x14ac:dyDescent="0.2">
      <c r="A153">
        <f>Customers_0!A153</f>
        <v>20586</v>
      </c>
      <c r="B153" t="str">
        <f>IFERROR(MID(Customers_0!B153,1,SEARCH(",",Customers_0!B153)-1),Customers_0!B153)</f>
        <v>Dr. Martin</v>
      </c>
      <c r="C153" t="str">
        <f t="shared" si="8"/>
        <v>Dr.</v>
      </c>
      <c r="D153" t="str">
        <f t="shared" si="9"/>
        <v/>
      </c>
      <c r="E153" t="str">
        <f t="shared" si="10"/>
        <v>Martin</v>
      </c>
      <c r="N153" t="str">
        <f>IF(OR(ISNUMBER(SEARCH("weg",[1]Tabelle1!C153&amp;Customers_0!D153)),
          ISNUMBER(SEARCH("gekündigt",Customers_0!C153&amp;Customers_0!D153)),
          ISNUMBER(SEARCH("rente",LOWER(Customers_0!C153&amp;Customers_0!D153)))),
   "INACTIVE",
   "ACTIVE")</f>
        <v>ACTIVE</v>
      </c>
      <c r="O153" t="str">
        <f t="shared" si="11"/>
        <v>OK</v>
      </c>
    </row>
    <row r="154" spans="1:15" x14ac:dyDescent="0.2">
      <c r="A154">
        <f>Customers_0!A154</f>
        <v>20587</v>
      </c>
      <c r="B154" t="str">
        <f>IFERROR(MID(Customers_0!B154,1,SEARCH(",",Customers_0!B154)-1),Customers_0!B154)</f>
        <v>Dr. Möring</v>
      </c>
      <c r="C154" t="str">
        <f t="shared" si="8"/>
        <v>Dr.</v>
      </c>
      <c r="D154" t="str">
        <f t="shared" si="9"/>
        <v/>
      </c>
      <c r="E154" t="str">
        <f t="shared" si="10"/>
        <v>Möring</v>
      </c>
      <c r="N154" t="str">
        <f>IF(OR(ISNUMBER(SEARCH("weg",[1]Tabelle1!C154&amp;Customers_0!D154)),
          ISNUMBER(SEARCH("gekündigt",Customers_0!C154&amp;Customers_0!D154)),
          ISNUMBER(SEARCH("rente",LOWER(Customers_0!C154&amp;Customers_0!D154)))),
   "INACTIVE",
   "ACTIVE")</f>
        <v>ACTIVE</v>
      </c>
      <c r="O154" t="str">
        <f t="shared" si="11"/>
        <v>OK</v>
      </c>
    </row>
    <row r="155" spans="1:15" x14ac:dyDescent="0.2">
      <c r="A155">
        <f>Customers_0!A155</f>
        <v>20588</v>
      </c>
      <c r="B155" t="str">
        <f>IFERROR(MID(Customers_0!B155,1,SEARCH(",",Customers_0!B155)-1),Customers_0!B155)</f>
        <v xml:space="preserve">Dr. Elam </v>
      </c>
      <c r="C155" t="str">
        <f t="shared" si="8"/>
        <v>Dr.</v>
      </c>
      <c r="D155" t="str">
        <f t="shared" si="9"/>
        <v/>
      </c>
      <c r="E155" t="str">
        <f t="shared" si="10"/>
        <v>Elam</v>
      </c>
      <c r="N155" t="str">
        <f>IF(OR(ISNUMBER(SEARCH("weg",[1]Tabelle1!C155&amp;Customers_0!D155)),
          ISNUMBER(SEARCH("gekündigt",Customers_0!C155&amp;Customers_0!D155)),
          ISNUMBER(SEARCH("rente",LOWER(Customers_0!C155&amp;Customers_0!D155)))),
   "INACTIVE",
   "ACTIVE")</f>
        <v>ACTIVE</v>
      </c>
      <c r="O155" t="str">
        <f t="shared" si="11"/>
        <v>OK</v>
      </c>
    </row>
    <row r="156" spans="1:15" x14ac:dyDescent="0.2">
      <c r="A156">
        <f>Customers_0!A156</f>
        <v>20589</v>
      </c>
      <c r="B156" t="str">
        <f>IFERROR(MID(Customers_0!B156,1,SEARCH(",",Customers_0!B156)-1),Customers_0!B156)</f>
        <v xml:space="preserve">Dr. Bott </v>
      </c>
      <c r="C156" t="str">
        <f t="shared" si="8"/>
        <v>Dr.</v>
      </c>
      <c r="D156" t="str">
        <f t="shared" si="9"/>
        <v/>
      </c>
      <c r="E156" t="str">
        <f t="shared" si="10"/>
        <v>Bott</v>
      </c>
      <c r="N156" t="str">
        <f>IF(OR(ISNUMBER(SEARCH("weg",[1]Tabelle1!C156&amp;Customers_0!D156)),
          ISNUMBER(SEARCH("gekündigt",Customers_0!C156&amp;Customers_0!D156)),
          ISNUMBER(SEARCH("rente",LOWER(Customers_0!C156&amp;Customers_0!D156)))),
   "INACTIVE",
   "ACTIVE")</f>
        <v>ACTIVE</v>
      </c>
      <c r="O156" t="str">
        <f t="shared" si="11"/>
        <v>OK</v>
      </c>
    </row>
    <row r="157" spans="1:15" x14ac:dyDescent="0.2">
      <c r="A157">
        <f>Customers_0!A157</f>
        <v>20594</v>
      </c>
      <c r="B157" t="str">
        <f>IFERROR(MID(Customers_0!B157,1,SEARCH(",",Customers_0!B157)-1),Customers_0!B157)</f>
        <v>Dr. Steinfatt</v>
      </c>
      <c r="C157" t="str">
        <f t="shared" si="8"/>
        <v>Dr.</v>
      </c>
      <c r="D157" t="str">
        <f t="shared" si="9"/>
        <v/>
      </c>
      <c r="E157" t="str">
        <f t="shared" si="10"/>
        <v>Steinfatt</v>
      </c>
      <c r="N157" t="str">
        <f>IF(OR(ISNUMBER(SEARCH("weg",[1]Tabelle1!C157&amp;Customers_0!D157)),
          ISNUMBER(SEARCH("gekündigt",Customers_0!C157&amp;Customers_0!D157)),
          ISNUMBER(SEARCH("rente",LOWER(Customers_0!C157&amp;Customers_0!D157)))),
   "INACTIVE",
   "ACTIVE")</f>
        <v>ACTIVE</v>
      </c>
      <c r="O157" t="str">
        <f t="shared" si="11"/>
        <v>OK</v>
      </c>
    </row>
    <row r="158" spans="1:15" x14ac:dyDescent="0.2">
      <c r="A158">
        <f>Customers_0!A158</f>
        <v>20600</v>
      </c>
      <c r="B158" t="str">
        <f>IFERROR(MID(Customers_0!B158,1,SEARCH(",",Customers_0!B158)-1),Customers_0!B158)</f>
        <v>Dr. Klaus Lukow</v>
      </c>
      <c r="C158" t="str">
        <f t="shared" si="8"/>
        <v>Dr.</v>
      </c>
      <c r="D158" t="str">
        <f t="shared" si="9"/>
        <v/>
      </c>
      <c r="E158" t="str">
        <f t="shared" si="10"/>
        <v>Klaus Lukow</v>
      </c>
      <c r="N158" t="str">
        <f>IF(OR(ISNUMBER(SEARCH("weg",[1]Tabelle1!C158&amp;Customers_0!D158)),
          ISNUMBER(SEARCH("gekündigt",Customers_0!C158&amp;Customers_0!D158)),
          ISNUMBER(SEARCH("rente",LOWER(Customers_0!C158&amp;Customers_0!D158)))),
   "INACTIVE",
   "ACTIVE")</f>
        <v>ACTIVE</v>
      </c>
      <c r="O158" t="str">
        <f t="shared" si="11"/>
        <v>OK</v>
      </c>
    </row>
    <row r="159" spans="1:15" x14ac:dyDescent="0.2">
      <c r="A159">
        <f>Customers_0!A159</f>
        <v>20601</v>
      </c>
      <c r="B159" t="str">
        <f>IFERROR(MID(Customers_0!B159,1,SEARCH(",",Customers_0!B159)-1),Customers_0!B159)</f>
        <v>Dres. Zunker/ Möller</v>
      </c>
      <c r="C159" t="str">
        <f t="shared" si="8"/>
        <v>Dres.</v>
      </c>
      <c r="D159" t="str">
        <f t="shared" si="9"/>
        <v/>
      </c>
      <c r="E159" t="str">
        <f t="shared" si="10"/>
        <v>Zunker/ Möller</v>
      </c>
      <c r="N159" t="str">
        <f>IF(OR(ISNUMBER(SEARCH("weg",[1]Tabelle1!C159&amp;Customers_0!D159)),
          ISNUMBER(SEARCH("gekündigt",Customers_0!C159&amp;Customers_0!D159)),
          ISNUMBER(SEARCH("rente",LOWER(Customers_0!C159&amp;Customers_0!D159)))),
   "INACTIVE",
   "ACTIVE")</f>
        <v>ACTIVE</v>
      </c>
      <c r="O159" t="str">
        <f t="shared" si="11"/>
        <v>PRÜFEN</v>
      </c>
    </row>
    <row r="160" spans="1:15" x14ac:dyDescent="0.2">
      <c r="A160">
        <f>Customers_0!A160</f>
        <v>20602</v>
      </c>
      <c r="B160" t="str">
        <f>IFERROR(MID(Customers_0!B160,1,SEARCH(",",Customers_0!B160)-1),Customers_0!B160)</f>
        <v>Prof.Dr. Kerp</v>
      </c>
      <c r="C160" t="str">
        <f t="shared" si="8"/>
        <v>Prof.Dr.</v>
      </c>
      <c r="D160" t="str">
        <f t="shared" si="9"/>
        <v/>
      </c>
      <c r="E160" t="str">
        <f t="shared" si="10"/>
        <v>Kerp</v>
      </c>
      <c r="N160" t="str">
        <f>IF(OR(ISNUMBER(SEARCH("weg",[1]Tabelle1!C160&amp;Customers_0!D160)),
          ISNUMBER(SEARCH("gekündigt",Customers_0!C160&amp;Customers_0!D160)),
          ISNUMBER(SEARCH("rente",LOWER(Customers_0!C160&amp;Customers_0!D160)))),
   "INACTIVE",
   "ACTIVE")</f>
        <v>ACTIVE</v>
      </c>
      <c r="O160" t="str">
        <f t="shared" si="11"/>
        <v>OK</v>
      </c>
    </row>
    <row r="161" spans="1:15" x14ac:dyDescent="0.2">
      <c r="A161">
        <f>Customers_0!A161</f>
        <v>20603</v>
      </c>
      <c r="B161" t="str">
        <f>IFERROR(MID(Customers_0!B161,1,SEARCH(",",Customers_0!B161)-1),Customers_0!B161)</f>
        <v>Dr. Kalchthaler</v>
      </c>
      <c r="C161" t="str">
        <f t="shared" si="8"/>
        <v>Dr.</v>
      </c>
      <c r="D161" t="str">
        <f t="shared" si="9"/>
        <v/>
      </c>
      <c r="E161" t="str">
        <f t="shared" si="10"/>
        <v>Kalchthaler</v>
      </c>
      <c r="N161" t="str">
        <f>IF(OR(ISNUMBER(SEARCH("weg",[1]Tabelle1!C161&amp;Customers_0!D161)),
          ISNUMBER(SEARCH("gekündigt",Customers_0!C161&amp;Customers_0!D161)),
          ISNUMBER(SEARCH("rente",LOWER(Customers_0!C161&amp;Customers_0!D161)))),
   "INACTIVE",
   "ACTIVE")</f>
        <v>ACTIVE</v>
      </c>
      <c r="O161" t="str">
        <f t="shared" si="11"/>
        <v>OK</v>
      </c>
    </row>
    <row r="162" spans="1:15" x14ac:dyDescent="0.2">
      <c r="A162">
        <f>Customers_0!A162</f>
        <v>20604</v>
      </c>
      <c r="B162" t="str">
        <f>IFERROR(MID(Customers_0!B162,1,SEARCH(",",Customers_0!B162)-1),Customers_0!B162)</f>
        <v>Dr. Rudolph</v>
      </c>
      <c r="C162" t="str">
        <f t="shared" si="8"/>
        <v>Dr.</v>
      </c>
      <c r="D162" t="str">
        <f t="shared" si="9"/>
        <v/>
      </c>
      <c r="E162" t="str">
        <f t="shared" si="10"/>
        <v>Rudolph</v>
      </c>
      <c r="N162" t="str">
        <f>IF(OR(ISNUMBER(SEARCH("weg",[1]Tabelle1!C162&amp;Customers_0!D162)),
          ISNUMBER(SEARCH("gekündigt",Customers_0!C162&amp;Customers_0!D162)),
          ISNUMBER(SEARCH("rente",LOWER(Customers_0!C162&amp;Customers_0!D162)))),
   "INACTIVE",
   "ACTIVE")</f>
        <v>ACTIVE</v>
      </c>
      <c r="O162" t="str">
        <f t="shared" si="11"/>
        <v>OK</v>
      </c>
    </row>
    <row r="163" spans="1:15" x14ac:dyDescent="0.2">
      <c r="A163">
        <f>Customers_0!A163</f>
        <v>20605</v>
      </c>
      <c r="B163" t="str">
        <f>IFERROR(MID(Customers_0!B163,1,SEARCH(",",Customers_0!B163)-1),Customers_0!B163)</f>
        <v>Dr. Haag-Wildi</v>
      </c>
      <c r="C163" t="str">
        <f t="shared" si="8"/>
        <v>Dr.</v>
      </c>
      <c r="D163" t="str">
        <f t="shared" si="9"/>
        <v/>
      </c>
      <c r="E163" t="str">
        <f t="shared" si="10"/>
        <v>Haag-Wildi</v>
      </c>
      <c r="N163" t="str">
        <f>IF(OR(ISNUMBER(SEARCH("weg",[1]Tabelle1!C163&amp;Customers_0!D163)),
          ISNUMBER(SEARCH("gekündigt",Customers_0!C163&amp;Customers_0!D163)),
          ISNUMBER(SEARCH("rente",LOWER(Customers_0!C163&amp;Customers_0!D163)))),
   "INACTIVE",
   "ACTIVE")</f>
        <v>ACTIVE</v>
      </c>
      <c r="O163" t="str">
        <f t="shared" si="11"/>
        <v>PRÜFEN</v>
      </c>
    </row>
    <row r="164" spans="1:15" x14ac:dyDescent="0.2">
      <c r="A164">
        <f>Customers_0!A164</f>
        <v>20606</v>
      </c>
      <c r="B164" t="str">
        <f>IFERROR(MID(Customers_0!B164,1,SEARCH(",",Customers_0!B164)-1),Customers_0!B164)</f>
        <v>Dr. Stekeler</v>
      </c>
      <c r="C164" t="str">
        <f t="shared" si="8"/>
        <v>Dr.</v>
      </c>
      <c r="D164" t="str">
        <f t="shared" si="9"/>
        <v/>
      </c>
      <c r="E164" t="str">
        <f t="shared" si="10"/>
        <v>Stekeler</v>
      </c>
      <c r="N164" t="str">
        <f>IF(OR(ISNUMBER(SEARCH("weg",[1]Tabelle1!C164&amp;Customers_0!D164)),
          ISNUMBER(SEARCH("gekündigt",Customers_0!C164&amp;Customers_0!D164)),
          ISNUMBER(SEARCH("rente",LOWER(Customers_0!C164&amp;Customers_0!D164)))),
   "INACTIVE",
   "ACTIVE")</f>
        <v>ACTIVE</v>
      </c>
      <c r="O164" t="str">
        <f t="shared" si="11"/>
        <v>OK</v>
      </c>
    </row>
    <row r="165" spans="1:15" x14ac:dyDescent="0.2">
      <c r="A165">
        <f>Customers_0!A165</f>
        <v>20614</v>
      </c>
      <c r="B165" t="str">
        <f>IFERROR(MID(Customers_0!B165,1,SEARCH(",",Customers_0!B165)-1),Customers_0!B165)</f>
        <v>Dr. Baur/ Schwab</v>
      </c>
      <c r="C165" t="str">
        <f t="shared" si="8"/>
        <v>Dr.</v>
      </c>
      <c r="D165" t="str">
        <f t="shared" si="9"/>
        <v/>
      </c>
      <c r="E165" t="str">
        <f t="shared" si="10"/>
        <v>Baur/ Schwab</v>
      </c>
      <c r="N165" t="str">
        <f>IF(OR(ISNUMBER(SEARCH("weg",[1]Tabelle1!C165&amp;Customers_0!D165)),
          ISNUMBER(SEARCH("gekündigt",Customers_0!C165&amp;Customers_0!D165)),
          ISNUMBER(SEARCH("rente",LOWER(Customers_0!C165&amp;Customers_0!D165)))),
   "INACTIVE",
   "ACTIVE")</f>
        <v>ACTIVE</v>
      </c>
      <c r="O165" t="str">
        <f t="shared" si="11"/>
        <v>PRÜFEN</v>
      </c>
    </row>
    <row r="166" spans="1:15" x14ac:dyDescent="0.2">
      <c r="A166">
        <f>Customers_0!A166</f>
        <v>20615</v>
      </c>
      <c r="B166" t="str">
        <f>IFERROR(MID(Customers_0!B166,1,SEARCH(",",Customers_0!B166)-1),Customers_0!B166)</f>
        <v>Ärztezentrum Leutkirch</v>
      </c>
      <c r="C166" t="str">
        <f t="shared" si="8"/>
        <v/>
      </c>
      <c r="D166" t="str">
        <f t="shared" si="9"/>
        <v/>
      </c>
      <c r="E166" t="str">
        <f t="shared" si="10"/>
        <v>Ärztezentrum Leutkirch</v>
      </c>
      <c r="N166" t="str">
        <f>IF(OR(ISNUMBER(SEARCH("weg",[1]Tabelle1!C166&amp;Customers_0!D166)),
          ISNUMBER(SEARCH("gekündigt",Customers_0!C166&amp;Customers_0!D166)),
          ISNUMBER(SEARCH("rente",LOWER(Customers_0!C166&amp;Customers_0!D166)))),
   "INACTIVE",
   "ACTIVE")</f>
        <v>ACTIVE</v>
      </c>
      <c r="O166" t="str">
        <f t="shared" si="11"/>
        <v>OK</v>
      </c>
    </row>
    <row r="167" spans="1:15" x14ac:dyDescent="0.2">
      <c r="A167">
        <f>Customers_0!A167</f>
        <v>20616</v>
      </c>
      <c r="B167" t="str">
        <f>IFERROR(MID(Customers_0!B167,1,SEARCH(",",Customers_0!B167)-1),Customers_0!B167)</f>
        <v>Dr. Steinmacher</v>
      </c>
      <c r="C167" t="str">
        <f t="shared" si="8"/>
        <v>Dr.</v>
      </c>
      <c r="D167" t="str">
        <f t="shared" si="9"/>
        <v/>
      </c>
      <c r="E167" t="str">
        <f t="shared" si="10"/>
        <v>Steinmacher</v>
      </c>
      <c r="N167" t="str">
        <f>IF(OR(ISNUMBER(SEARCH("weg",[1]Tabelle1!C167&amp;Customers_0!D167)),
          ISNUMBER(SEARCH("gekündigt",Customers_0!C167&amp;Customers_0!D167)),
          ISNUMBER(SEARCH("rente",LOWER(Customers_0!C167&amp;Customers_0!D167)))),
   "INACTIVE",
   "ACTIVE")</f>
        <v>ACTIVE</v>
      </c>
      <c r="O167" t="str">
        <f t="shared" si="11"/>
        <v>OK</v>
      </c>
    </row>
    <row r="168" spans="1:15" x14ac:dyDescent="0.2">
      <c r="A168">
        <f>Customers_0!A168</f>
        <v>20617</v>
      </c>
      <c r="B168" t="str">
        <f>IFERROR(MID(Customers_0!B168,1,SEARCH(",",Customers_0!B168)-1),Customers_0!B168)</f>
        <v>Friedrich Hudek</v>
      </c>
      <c r="C168" t="str">
        <f t="shared" si="8"/>
        <v/>
      </c>
      <c r="D168" t="str">
        <f t="shared" si="9"/>
        <v/>
      </c>
      <c r="E168" t="str">
        <f t="shared" si="10"/>
        <v>Friedrich Hudek</v>
      </c>
      <c r="N168" t="str">
        <f>IF(OR(ISNUMBER(SEARCH("weg",[1]Tabelle1!C168&amp;Customers_0!D168)),
          ISNUMBER(SEARCH("gekündigt",Customers_0!C168&amp;Customers_0!D168)),
          ISNUMBER(SEARCH("rente",LOWER(Customers_0!C168&amp;Customers_0!D168)))),
   "INACTIVE",
   "ACTIVE")</f>
        <v>ACTIVE</v>
      </c>
      <c r="O168" t="str">
        <f t="shared" si="11"/>
        <v>OK</v>
      </c>
    </row>
    <row r="169" spans="1:15" x14ac:dyDescent="0.2">
      <c r="A169">
        <f>Customers_0!A169</f>
        <v>20618</v>
      </c>
      <c r="B169" t="str">
        <f>IFERROR(MID(Customers_0!B169,1,SEARCH(",",Customers_0!B169)-1),Customers_0!B169)</f>
        <v>Michael Prömper</v>
      </c>
      <c r="C169" t="str">
        <f t="shared" si="8"/>
        <v/>
      </c>
      <c r="D169" t="str">
        <f t="shared" si="9"/>
        <v/>
      </c>
      <c r="E169" t="str">
        <f t="shared" si="10"/>
        <v>Michael Prömper</v>
      </c>
      <c r="N169" t="str">
        <f>IF(OR(ISNUMBER(SEARCH("weg",[1]Tabelle1!C169&amp;Customers_0!D169)),
          ISNUMBER(SEARCH("gekündigt",Customers_0!C169&amp;Customers_0!D169)),
          ISNUMBER(SEARCH("rente",LOWER(Customers_0!C169&amp;Customers_0!D169)))),
   "INACTIVE",
   "ACTIVE")</f>
        <v>ACTIVE</v>
      </c>
      <c r="O169" t="str">
        <f t="shared" si="11"/>
        <v>OK</v>
      </c>
    </row>
    <row r="170" spans="1:15" x14ac:dyDescent="0.2">
      <c r="A170">
        <f>Customers_0!A170</f>
        <v>20619</v>
      </c>
      <c r="B170" t="str">
        <f>IFERROR(MID(Customers_0!B170,1,SEARCH(",",Customers_0!B170)-1),Customers_0!B170)</f>
        <v>Dr. Räuker</v>
      </c>
      <c r="C170" t="str">
        <f t="shared" si="8"/>
        <v>Dr.</v>
      </c>
      <c r="D170" t="str">
        <f t="shared" si="9"/>
        <v/>
      </c>
      <c r="E170" t="str">
        <f t="shared" si="10"/>
        <v>Räuker</v>
      </c>
      <c r="N170" t="str">
        <f>IF(OR(ISNUMBER(SEARCH("weg",[1]Tabelle1!C170&amp;Customers_0!D170)),
          ISNUMBER(SEARCH("gekündigt",Customers_0!C170&amp;Customers_0!D170)),
          ISNUMBER(SEARCH("rente",LOWER(Customers_0!C170&amp;Customers_0!D170)))),
   "INACTIVE",
   "ACTIVE")</f>
        <v>ACTIVE</v>
      </c>
      <c r="O170" t="str">
        <f t="shared" si="11"/>
        <v>OK</v>
      </c>
    </row>
    <row r="171" spans="1:15" x14ac:dyDescent="0.2">
      <c r="A171">
        <f>Customers_0!A171</f>
        <v>20621</v>
      </c>
      <c r="B171" t="str">
        <f>IFERROR(MID(Customers_0!B171,1,SEARCH(",",Customers_0!B171)-1),Customers_0!B171)</f>
        <v>R. Radjai</v>
      </c>
      <c r="C171" t="str">
        <f t="shared" si="8"/>
        <v/>
      </c>
      <c r="D171" t="str">
        <f t="shared" si="9"/>
        <v/>
      </c>
      <c r="E171" t="str">
        <f t="shared" si="10"/>
        <v>R. Radjai</v>
      </c>
      <c r="N171" t="str">
        <f>IF(OR(ISNUMBER(SEARCH("weg",[1]Tabelle1!C171&amp;Customers_0!D171)),
          ISNUMBER(SEARCH("gekündigt",Customers_0!C171&amp;Customers_0!D171)),
          ISNUMBER(SEARCH("rente",LOWER(Customers_0!C171&amp;Customers_0!D171)))),
   "INACTIVE",
   "ACTIVE")</f>
        <v>INACTIVE</v>
      </c>
      <c r="O171" t="str">
        <f t="shared" si="11"/>
        <v>OK</v>
      </c>
    </row>
    <row r="172" spans="1:15" x14ac:dyDescent="0.2">
      <c r="A172">
        <f>Customers_0!A172</f>
        <v>20623</v>
      </c>
      <c r="B172" t="str">
        <f>IFERROR(MID(Customers_0!B172,1,SEARCH(",",Customers_0!B172)-1),Customers_0!B172)</f>
        <v>Dr. Renzel</v>
      </c>
      <c r="C172" t="str">
        <f t="shared" si="8"/>
        <v>Dr.</v>
      </c>
      <c r="D172" t="str">
        <f t="shared" si="9"/>
        <v/>
      </c>
      <c r="E172" t="str">
        <f t="shared" si="10"/>
        <v>Renzel</v>
      </c>
      <c r="N172" t="str">
        <f>IF(OR(ISNUMBER(SEARCH("weg",[1]Tabelle1!C172&amp;Customers_0!D172)),
          ISNUMBER(SEARCH("gekündigt",Customers_0!C172&amp;Customers_0!D172)),
          ISNUMBER(SEARCH("rente",LOWER(Customers_0!C172&amp;Customers_0!D172)))),
   "INACTIVE",
   "ACTIVE")</f>
        <v>INACTIVE</v>
      </c>
      <c r="O172" t="str">
        <f t="shared" si="11"/>
        <v>OK</v>
      </c>
    </row>
    <row r="173" spans="1:15" x14ac:dyDescent="0.2">
      <c r="A173">
        <f>Customers_0!A173</f>
        <v>20629</v>
      </c>
      <c r="B173" t="str">
        <f>IFERROR(MID(Customers_0!B173,1,SEARCH(",",Customers_0!B173)-1),Customers_0!B173)</f>
        <v>Dr. Dieszbrock</v>
      </c>
      <c r="C173" t="str">
        <f t="shared" si="8"/>
        <v>Dr.</v>
      </c>
      <c r="D173" t="str">
        <f t="shared" si="9"/>
        <v/>
      </c>
      <c r="E173" t="str">
        <f t="shared" si="10"/>
        <v>Dieszbrock</v>
      </c>
      <c r="N173" t="str">
        <f>IF(OR(ISNUMBER(SEARCH("weg",[1]Tabelle1!C173&amp;Customers_0!D173)),
          ISNUMBER(SEARCH("gekündigt",Customers_0!C173&amp;Customers_0!D173)),
          ISNUMBER(SEARCH("rente",LOWER(Customers_0!C173&amp;Customers_0!D173)))),
   "INACTIVE",
   "ACTIVE")</f>
        <v>ACTIVE</v>
      </c>
      <c r="O173" t="str">
        <f t="shared" si="11"/>
        <v>OK</v>
      </c>
    </row>
    <row r="174" spans="1:15" x14ac:dyDescent="0.2">
      <c r="A174">
        <f>Customers_0!A174</f>
        <v>20632</v>
      </c>
      <c r="B174" t="str">
        <f>IFERROR(MID(Customers_0!B174,1,SEARCH(",",Customers_0!B174)-1),Customers_0!B174)</f>
        <v>Dr. Hellwege</v>
      </c>
      <c r="C174" t="str">
        <f t="shared" si="8"/>
        <v>Dr.</v>
      </c>
      <c r="D174" t="str">
        <f t="shared" si="9"/>
        <v/>
      </c>
      <c r="E174" t="str">
        <f t="shared" si="10"/>
        <v>Hellwege</v>
      </c>
      <c r="N174" t="str">
        <f>IF(OR(ISNUMBER(SEARCH("weg",[1]Tabelle1!C174&amp;Customers_0!D174)),
          ISNUMBER(SEARCH("gekündigt",Customers_0!C174&amp;Customers_0!D174)),
          ISNUMBER(SEARCH("rente",LOWER(Customers_0!C174&amp;Customers_0!D174)))),
   "INACTIVE",
   "ACTIVE")</f>
        <v>ACTIVE</v>
      </c>
      <c r="O174" t="str">
        <f t="shared" si="11"/>
        <v>OK</v>
      </c>
    </row>
    <row r="175" spans="1:15" x14ac:dyDescent="0.2">
      <c r="A175">
        <f>Customers_0!A175</f>
        <v>20633</v>
      </c>
      <c r="B175" t="str">
        <f>IFERROR(MID(Customers_0!B175,1,SEARCH(",",Customers_0!B175)-1),Customers_0!B175)</f>
        <v>Dr. Maderner</v>
      </c>
      <c r="C175" t="str">
        <f t="shared" si="8"/>
        <v>Dr.</v>
      </c>
      <c r="D175" t="str">
        <f t="shared" si="9"/>
        <v/>
      </c>
      <c r="E175" t="str">
        <f t="shared" si="10"/>
        <v>Maderner</v>
      </c>
      <c r="N175" t="str">
        <f>IF(OR(ISNUMBER(SEARCH("weg",[1]Tabelle1!C175&amp;Customers_0!D175)),
          ISNUMBER(SEARCH("gekündigt",Customers_0!C175&amp;Customers_0!D175)),
          ISNUMBER(SEARCH("rente",LOWER(Customers_0!C175&amp;Customers_0!D175)))),
   "INACTIVE",
   "ACTIVE")</f>
        <v>ACTIVE</v>
      </c>
      <c r="O175" t="str">
        <f t="shared" si="11"/>
        <v>OK</v>
      </c>
    </row>
    <row r="176" spans="1:15" x14ac:dyDescent="0.2">
      <c r="A176">
        <f>Customers_0!A176</f>
        <v>20634</v>
      </c>
      <c r="B176" t="str">
        <f>IFERROR(MID(Customers_0!B176,1,SEARCH(",",Customers_0!B176)-1),Customers_0!B176)</f>
        <v>Dr. Spitzmüller</v>
      </c>
      <c r="C176" t="str">
        <f t="shared" si="8"/>
        <v>Dr.</v>
      </c>
      <c r="D176" t="str">
        <f t="shared" si="9"/>
        <v/>
      </c>
      <c r="E176" t="str">
        <f t="shared" si="10"/>
        <v>Spitzmüller</v>
      </c>
      <c r="N176" t="str">
        <f>IF(OR(ISNUMBER(SEARCH("weg",[1]Tabelle1!C176&amp;Customers_0!D176)),
          ISNUMBER(SEARCH("gekündigt",Customers_0!C176&amp;Customers_0!D176)),
          ISNUMBER(SEARCH("rente",LOWER(Customers_0!C176&amp;Customers_0!D176)))),
   "INACTIVE",
   "ACTIVE")</f>
        <v>ACTIVE</v>
      </c>
      <c r="O176" t="str">
        <f t="shared" si="11"/>
        <v>OK</v>
      </c>
    </row>
    <row r="177" spans="1:15" x14ac:dyDescent="0.2">
      <c r="A177">
        <f>Customers_0!A177</f>
        <v>20636</v>
      </c>
      <c r="B177" t="str">
        <f>IFERROR(MID(Customers_0!B177,1,SEARCH(",",Customers_0!B177)-1),Customers_0!B177)</f>
        <v>Dr. Wulff</v>
      </c>
      <c r="C177" t="str">
        <f t="shared" si="8"/>
        <v>Dr.</v>
      </c>
      <c r="D177" t="str">
        <f t="shared" si="9"/>
        <v/>
      </c>
      <c r="E177" t="str">
        <f t="shared" si="10"/>
        <v>Wulff</v>
      </c>
      <c r="N177" t="str">
        <f>IF(OR(ISNUMBER(SEARCH("weg",[1]Tabelle1!C177&amp;Customers_0!D177)),
          ISNUMBER(SEARCH("gekündigt",Customers_0!C177&amp;Customers_0!D177)),
          ISNUMBER(SEARCH("rente",LOWER(Customers_0!C177&amp;Customers_0!D177)))),
   "INACTIVE",
   "ACTIVE")</f>
        <v>ACTIVE</v>
      </c>
      <c r="O177" t="str">
        <f t="shared" si="11"/>
        <v>OK</v>
      </c>
    </row>
    <row r="178" spans="1:15" x14ac:dyDescent="0.2">
      <c r="A178">
        <f>Customers_0!A178</f>
        <v>20637</v>
      </c>
      <c r="B178" t="str">
        <f>IFERROR(MID(Customers_0!B178,1,SEARCH(",",Customers_0!B178)-1),Customers_0!B178)</f>
        <v>Dres. Wichert/ Conrad</v>
      </c>
      <c r="C178" t="str">
        <f t="shared" si="8"/>
        <v>Dres.</v>
      </c>
      <c r="D178" t="str">
        <f t="shared" si="9"/>
        <v/>
      </c>
      <c r="E178" t="str">
        <f t="shared" si="10"/>
        <v>Wichert/ Conrad</v>
      </c>
      <c r="N178" t="str">
        <f>IF(OR(ISNUMBER(SEARCH("weg",[1]Tabelle1!C178&amp;Customers_0!D178)),
          ISNUMBER(SEARCH("gekündigt",Customers_0!C178&amp;Customers_0!D178)),
          ISNUMBER(SEARCH("rente",LOWER(Customers_0!C178&amp;Customers_0!D178)))),
   "INACTIVE",
   "ACTIVE")</f>
        <v>ACTIVE</v>
      </c>
      <c r="O178" t="str">
        <f t="shared" si="11"/>
        <v>PRÜFEN</v>
      </c>
    </row>
    <row r="179" spans="1:15" x14ac:dyDescent="0.2">
      <c r="A179">
        <f>Customers_0!A179</f>
        <v>20639</v>
      </c>
      <c r="B179" t="str">
        <f>IFERROR(MID(Customers_0!B179,1,SEARCH(",",Customers_0!B179)-1),Customers_0!B179)</f>
        <v>St. Martins Apotheke</v>
      </c>
      <c r="C179" t="str">
        <f t="shared" si="8"/>
        <v/>
      </c>
      <c r="D179" t="str">
        <f t="shared" si="9"/>
        <v/>
      </c>
      <c r="E179" t="str">
        <f t="shared" si="10"/>
        <v>St. Martins Apotheke</v>
      </c>
      <c r="N179" t="str">
        <f>IF(OR(ISNUMBER(SEARCH("weg",[1]Tabelle1!C179&amp;Customers_0!D179)),
          ISNUMBER(SEARCH("gekündigt",Customers_0!C179&amp;Customers_0!D179)),
          ISNUMBER(SEARCH("rente",LOWER(Customers_0!C179&amp;Customers_0!D179)))),
   "INACTIVE",
   "ACTIVE")</f>
        <v>ACTIVE</v>
      </c>
      <c r="O179" t="str">
        <f t="shared" si="11"/>
        <v>OK</v>
      </c>
    </row>
    <row r="180" spans="1:15" x14ac:dyDescent="0.2">
      <c r="A180">
        <f>Customers_0!A180</f>
        <v>20641</v>
      </c>
      <c r="B180" t="str">
        <f>IFERROR(MID(Customers_0!B180,1,SEARCH(",",Customers_0!B180)-1),Customers_0!B180)</f>
        <v>Dr. Brauneck</v>
      </c>
      <c r="C180" t="str">
        <f t="shared" si="8"/>
        <v>Dr.</v>
      </c>
      <c r="D180" t="str">
        <f t="shared" si="9"/>
        <v/>
      </c>
      <c r="E180" t="str">
        <f t="shared" si="10"/>
        <v>Brauneck</v>
      </c>
      <c r="N180" t="str">
        <f>IF(OR(ISNUMBER(SEARCH("weg",[1]Tabelle1!C180&amp;Customers_0!D180)),
          ISNUMBER(SEARCH("gekündigt",Customers_0!C180&amp;Customers_0!D180)),
          ISNUMBER(SEARCH("rente",LOWER(Customers_0!C180&amp;Customers_0!D180)))),
   "INACTIVE",
   "ACTIVE")</f>
        <v>INACTIVE</v>
      </c>
      <c r="O180" t="str">
        <f t="shared" si="11"/>
        <v>OK</v>
      </c>
    </row>
    <row r="181" spans="1:15" x14ac:dyDescent="0.2">
      <c r="A181">
        <f>Customers_0!A181</f>
        <v>20643</v>
      </c>
      <c r="B181" t="str">
        <f>IFERROR(MID(Customers_0!B181,1,SEARCH(",",Customers_0!B181)-1),Customers_0!B181)</f>
        <v>Drs.Gerlach/ Woiton/ Exner</v>
      </c>
      <c r="C181" t="str">
        <f t="shared" si="8"/>
        <v>Drs.Gerlach/</v>
      </c>
      <c r="D181" t="str">
        <f t="shared" si="9"/>
        <v/>
      </c>
      <c r="E181" t="str">
        <f t="shared" si="10"/>
        <v>Woiton/ Exner</v>
      </c>
      <c r="N181" t="str">
        <f>IF(OR(ISNUMBER(SEARCH("weg",[1]Tabelle1!C181&amp;Customers_0!D181)),
          ISNUMBER(SEARCH("gekündigt",Customers_0!C181&amp;Customers_0!D181)),
          ISNUMBER(SEARCH("rente",LOWER(Customers_0!C181&amp;Customers_0!D181)))),
   "INACTIVE",
   "ACTIVE")</f>
        <v>ACTIVE</v>
      </c>
      <c r="O181" t="str">
        <f t="shared" si="11"/>
        <v>PRÜFEN</v>
      </c>
    </row>
    <row r="182" spans="1:15" x14ac:dyDescent="0.2">
      <c r="A182">
        <f>Customers_0!A182</f>
        <v>20644</v>
      </c>
      <c r="B182" t="str">
        <f>IFERROR(MID(Customers_0!B182,1,SEARCH(",",Customers_0!B182)-1),Customers_0!B182)</f>
        <v>Dres.Beindorff/ Koch-Wag.</v>
      </c>
      <c r="C182" t="str">
        <f t="shared" si="8"/>
        <v>Dres.Beindorff/</v>
      </c>
      <c r="D182" t="str">
        <f t="shared" si="9"/>
        <v/>
      </c>
      <c r="E182" t="str">
        <f t="shared" si="10"/>
        <v>Koch-Wag.</v>
      </c>
      <c r="N182" t="str">
        <f>IF(OR(ISNUMBER(SEARCH("weg",[1]Tabelle1!C182&amp;Customers_0!D182)),
          ISNUMBER(SEARCH("gekündigt",Customers_0!C182&amp;Customers_0!D182)),
          ISNUMBER(SEARCH("rente",LOWER(Customers_0!C182&amp;Customers_0!D182)))),
   "INACTIVE",
   "ACTIVE")</f>
        <v>INACTIVE</v>
      </c>
      <c r="O182" t="str">
        <f t="shared" si="11"/>
        <v>PRÜFEN</v>
      </c>
    </row>
    <row r="183" spans="1:15" x14ac:dyDescent="0.2">
      <c r="A183">
        <f>Customers_0!A183</f>
        <v>20647</v>
      </c>
      <c r="B183" t="str">
        <f>IFERROR(MID(Customers_0!B183,1,SEARCH(",",Customers_0!B183)-1),Customers_0!B183)</f>
        <v>Dr. Grellmann</v>
      </c>
      <c r="C183" t="str">
        <f t="shared" si="8"/>
        <v>Dr.</v>
      </c>
      <c r="D183" t="str">
        <f t="shared" si="9"/>
        <v/>
      </c>
      <c r="E183" t="str">
        <f t="shared" si="10"/>
        <v>Grellmann</v>
      </c>
      <c r="N183" t="str">
        <f>IF(OR(ISNUMBER(SEARCH("weg",[1]Tabelle1!C183&amp;Customers_0!D183)),
          ISNUMBER(SEARCH("gekündigt",Customers_0!C183&amp;Customers_0!D183)),
          ISNUMBER(SEARCH("rente",LOWER(Customers_0!C183&amp;Customers_0!D183)))),
   "INACTIVE",
   "ACTIVE")</f>
        <v>ACTIVE</v>
      </c>
      <c r="O183" t="str">
        <f t="shared" si="11"/>
        <v>OK</v>
      </c>
    </row>
    <row r="184" spans="1:15" x14ac:dyDescent="0.2">
      <c r="A184">
        <f>Customers_0!A184</f>
        <v>20648</v>
      </c>
      <c r="B184" t="str">
        <f>IFERROR(MID(Customers_0!B184,1,SEARCH(",",Customers_0!B184)-1),Customers_0!B184)</f>
        <v>Dr. Reinhuber</v>
      </c>
      <c r="C184" t="str">
        <f t="shared" si="8"/>
        <v>Dr.</v>
      </c>
      <c r="D184" t="str">
        <f t="shared" si="9"/>
        <v/>
      </c>
      <c r="E184" t="str">
        <f t="shared" si="10"/>
        <v>Reinhuber</v>
      </c>
      <c r="N184" t="str">
        <f>IF(OR(ISNUMBER(SEARCH("weg",[1]Tabelle1!C184&amp;Customers_0!D184)),
          ISNUMBER(SEARCH("gekündigt",Customers_0!C184&amp;Customers_0!D184)),
          ISNUMBER(SEARCH("rente",LOWER(Customers_0!C184&amp;Customers_0!D184)))),
   "INACTIVE",
   "ACTIVE")</f>
        <v>ACTIVE</v>
      </c>
      <c r="O184" t="str">
        <f t="shared" si="11"/>
        <v>OK</v>
      </c>
    </row>
    <row r="185" spans="1:15" x14ac:dyDescent="0.2">
      <c r="A185">
        <f>Customers_0!A185</f>
        <v>20650</v>
      </c>
      <c r="B185" t="str">
        <f>IFERROR(MID(Customers_0!B185,1,SEARCH(",",Customers_0!B185)-1),Customers_0!B185)</f>
        <v>Dres. Demeler/ Winter</v>
      </c>
      <c r="C185" t="str">
        <f t="shared" si="8"/>
        <v>Dres.</v>
      </c>
      <c r="D185" t="str">
        <f t="shared" si="9"/>
        <v/>
      </c>
      <c r="E185" t="str">
        <f t="shared" si="10"/>
        <v>Demeler/ Winter</v>
      </c>
      <c r="N185" t="str">
        <f>IF(OR(ISNUMBER(SEARCH("weg",[1]Tabelle1!C185&amp;Customers_0!D185)),
          ISNUMBER(SEARCH("gekündigt",Customers_0!C185&amp;Customers_0!D185)),
          ISNUMBER(SEARCH("rente",LOWER(Customers_0!C185&amp;Customers_0!D185)))),
   "INACTIVE",
   "ACTIVE")</f>
        <v>INACTIVE</v>
      </c>
      <c r="O185" t="str">
        <f t="shared" si="11"/>
        <v>PRÜFEN</v>
      </c>
    </row>
    <row r="186" spans="1:15" x14ac:dyDescent="0.2">
      <c r="A186">
        <f>Customers_0!A186</f>
        <v>20651</v>
      </c>
      <c r="B186" t="str">
        <f>IFERROR(MID(Customers_0!B186,1,SEARCH(",",Customers_0!B186)-1),Customers_0!B186)</f>
        <v>Scheller</v>
      </c>
      <c r="C186" t="str">
        <f t="shared" si="8"/>
        <v/>
      </c>
      <c r="D186" t="str">
        <f t="shared" si="9"/>
        <v/>
      </c>
      <c r="E186" t="str">
        <f t="shared" si="10"/>
        <v>Scheller</v>
      </c>
      <c r="N186" t="str">
        <f>IF(OR(ISNUMBER(SEARCH("weg",[1]Tabelle1!C186&amp;Customers_0!D186)),
          ISNUMBER(SEARCH("gekündigt",Customers_0!C186&amp;Customers_0!D186)),
          ISNUMBER(SEARCH("rente",LOWER(Customers_0!C186&amp;Customers_0!D186)))),
   "INACTIVE",
   "ACTIVE")</f>
        <v>INACTIVE</v>
      </c>
      <c r="O186" t="str">
        <f t="shared" si="11"/>
        <v>OK</v>
      </c>
    </row>
    <row r="187" spans="1:15" x14ac:dyDescent="0.2">
      <c r="A187">
        <f>Customers_0!A187</f>
        <v>20652</v>
      </c>
      <c r="B187" t="str">
        <f>IFERROR(MID(Customers_0!B187,1,SEARCH(",",Customers_0!B187)-1),Customers_0!B187)</f>
        <v>Tatjana Moor</v>
      </c>
      <c r="C187" t="str">
        <f t="shared" si="8"/>
        <v/>
      </c>
      <c r="D187" t="str">
        <f t="shared" si="9"/>
        <v/>
      </c>
      <c r="E187" t="str">
        <f t="shared" si="10"/>
        <v>Tatjana Moor</v>
      </c>
      <c r="N187" t="str">
        <f>IF(OR(ISNUMBER(SEARCH("weg",[1]Tabelle1!C187&amp;Customers_0!D187)),
          ISNUMBER(SEARCH("gekündigt",Customers_0!C187&amp;Customers_0!D187)),
          ISNUMBER(SEARCH("rente",LOWER(Customers_0!C187&amp;Customers_0!D187)))),
   "INACTIVE",
   "ACTIVE")</f>
        <v>ACTIVE</v>
      </c>
      <c r="O187" t="str">
        <f t="shared" si="11"/>
        <v>OK</v>
      </c>
    </row>
    <row r="188" spans="1:15" x14ac:dyDescent="0.2">
      <c r="A188">
        <f>Customers_0!A188</f>
        <v>20657</v>
      </c>
      <c r="B188" t="str">
        <f>IFERROR(MID(Customers_0!B188,1,SEARCH(",",Customers_0!B188)-1),Customers_0!B188)</f>
        <v>Dr. Selbherr</v>
      </c>
      <c r="C188" t="str">
        <f t="shared" si="8"/>
        <v>Dr.</v>
      </c>
      <c r="D188" t="str">
        <f t="shared" si="9"/>
        <v/>
      </c>
      <c r="E188" t="str">
        <f t="shared" si="10"/>
        <v>Selbherr</v>
      </c>
      <c r="N188" t="str">
        <f>IF(OR(ISNUMBER(SEARCH("weg",[1]Tabelle1!C188&amp;Customers_0!D188)),
          ISNUMBER(SEARCH("gekündigt",Customers_0!C188&amp;Customers_0!D188)),
          ISNUMBER(SEARCH("rente",LOWER(Customers_0!C188&amp;Customers_0!D188)))),
   "INACTIVE",
   "ACTIVE")</f>
        <v>ACTIVE</v>
      </c>
      <c r="O188" t="str">
        <f t="shared" si="11"/>
        <v>OK</v>
      </c>
    </row>
    <row r="189" spans="1:15" x14ac:dyDescent="0.2">
      <c r="A189">
        <f>Customers_0!A189</f>
        <v>20658</v>
      </c>
      <c r="B189" t="str">
        <f>IFERROR(MID(Customers_0!B189,1,SEARCH(",",Customers_0!B189)-1),Customers_0!B189)</f>
        <v>Dr. Förstner</v>
      </c>
      <c r="C189" t="str">
        <f t="shared" si="8"/>
        <v>Dr.</v>
      </c>
      <c r="D189" t="str">
        <f t="shared" si="9"/>
        <v/>
      </c>
      <c r="E189" t="str">
        <f t="shared" si="10"/>
        <v>Förstner</v>
      </c>
      <c r="N189" t="str">
        <f>IF(OR(ISNUMBER(SEARCH("weg",[1]Tabelle1!C189&amp;Customers_0!D189)),
          ISNUMBER(SEARCH("gekündigt",Customers_0!C189&amp;Customers_0!D189)),
          ISNUMBER(SEARCH("rente",LOWER(Customers_0!C189&amp;Customers_0!D189)))),
   "INACTIVE",
   "ACTIVE")</f>
        <v>ACTIVE</v>
      </c>
      <c r="O189" t="str">
        <f t="shared" si="11"/>
        <v>OK</v>
      </c>
    </row>
    <row r="190" spans="1:15" x14ac:dyDescent="0.2">
      <c r="A190">
        <f>Customers_0!A190</f>
        <v>20660</v>
      </c>
      <c r="B190" t="str">
        <f>IFERROR(MID(Customers_0!B190,1,SEARCH(",",Customers_0!B190)-1),Customers_0!B190)</f>
        <v>Andre-Nimrich</v>
      </c>
      <c r="C190" t="str">
        <f t="shared" si="8"/>
        <v/>
      </c>
      <c r="D190" t="str">
        <f t="shared" si="9"/>
        <v/>
      </c>
      <c r="E190" t="str">
        <f t="shared" si="10"/>
        <v>Andre-Nimrich</v>
      </c>
      <c r="N190" t="str">
        <f>IF(OR(ISNUMBER(SEARCH("weg",[1]Tabelle1!C190&amp;Customers_0!D190)),
          ISNUMBER(SEARCH("gekündigt",Customers_0!C190&amp;Customers_0!D190)),
          ISNUMBER(SEARCH("rente",LOWER(Customers_0!C190&amp;Customers_0!D190)))),
   "INACTIVE",
   "ACTIVE")</f>
        <v>INACTIVE</v>
      </c>
      <c r="O190" t="str">
        <f t="shared" si="11"/>
        <v>PRÜFEN</v>
      </c>
    </row>
    <row r="191" spans="1:15" x14ac:dyDescent="0.2">
      <c r="A191">
        <f>Customers_0!A191</f>
        <v>20663</v>
      </c>
      <c r="B191" t="str">
        <f>IFERROR(MID(Customers_0!B191,1,SEARCH(",",Customers_0!B191)-1),Customers_0!B191)</f>
        <v>Dres. Walker/Kranz</v>
      </c>
      <c r="C191" t="str">
        <f t="shared" si="8"/>
        <v>Dres.</v>
      </c>
      <c r="D191" t="str">
        <f t="shared" si="9"/>
        <v/>
      </c>
      <c r="E191" t="str">
        <f t="shared" si="10"/>
        <v>Walker/Kranz</v>
      </c>
      <c r="N191" t="str">
        <f>IF(OR(ISNUMBER(SEARCH("weg",[1]Tabelle1!C191&amp;Customers_0!D191)),
          ISNUMBER(SEARCH("gekündigt",Customers_0!C191&amp;Customers_0!D191)),
          ISNUMBER(SEARCH("rente",LOWER(Customers_0!C191&amp;Customers_0!D191)))),
   "INACTIVE",
   "ACTIVE")</f>
        <v>INACTIVE</v>
      </c>
      <c r="O191" t="str">
        <f t="shared" si="11"/>
        <v>PRÜFEN</v>
      </c>
    </row>
    <row r="192" spans="1:15" x14ac:dyDescent="0.2">
      <c r="A192">
        <f>Customers_0!A192</f>
        <v>20665</v>
      </c>
      <c r="B192" t="str">
        <f>IFERROR(MID(Customers_0!B192,1,SEARCH(",",Customers_0!B192)-1),Customers_0!B192)</f>
        <v>Dr. Minkoley</v>
      </c>
      <c r="C192" t="str">
        <f t="shared" si="8"/>
        <v>Dr.</v>
      </c>
      <c r="D192" t="str">
        <f t="shared" si="9"/>
        <v/>
      </c>
      <c r="E192" t="str">
        <f t="shared" si="10"/>
        <v>Minkoley</v>
      </c>
      <c r="N192" t="str">
        <f>IF(OR(ISNUMBER(SEARCH("weg",[1]Tabelle1!C192&amp;Customers_0!D192)),
          ISNUMBER(SEARCH("gekündigt",Customers_0!C192&amp;Customers_0!D192)),
          ISNUMBER(SEARCH("rente",LOWER(Customers_0!C192&amp;Customers_0!D192)))),
   "INACTIVE",
   "ACTIVE")</f>
        <v>INACTIVE</v>
      </c>
      <c r="O192" t="str">
        <f t="shared" si="11"/>
        <v>OK</v>
      </c>
    </row>
    <row r="193" spans="1:15" x14ac:dyDescent="0.2">
      <c r="A193">
        <f>Customers_0!A193</f>
        <v>20666</v>
      </c>
      <c r="B193" t="str">
        <f>IFERROR(MID(Customers_0!B193,1,SEARCH(",",Customers_0!B193)-1),Customers_0!B193)</f>
        <v>Ruhl/ Dr. Tiehl</v>
      </c>
      <c r="C193" t="str">
        <f t="shared" si="8"/>
        <v/>
      </c>
      <c r="D193" t="str">
        <f t="shared" si="9"/>
        <v/>
      </c>
      <c r="E193" t="str">
        <f t="shared" si="10"/>
        <v>Ruhl/ Dr. Tiehl</v>
      </c>
      <c r="N193" t="str">
        <f>IF(OR(ISNUMBER(SEARCH("weg",[1]Tabelle1!C193&amp;Customers_0!D193)),
          ISNUMBER(SEARCH("gekündigt",Customers_0!C193&amp;Customers_0!D193)),
          ISNUMBER(SEARCH("rente",LOWER(Customers_0!C193&amp;Customers_0!D193)))),
   "INACTIVE",
   "ACTIVE")</f>
        <v>ACTIVE</v>
      </c>
      <c r="O193" t="str">
        <f t="shared" si="11"/>
        <v>PRÜFEN</v>
      </c>
    </row>
    <row r="194" spans="1:15" x14ac:dyDescent="0.2">
      <c r="A194">
        <f>Customers_0!A194</f>
        <v>20667</v>
      </c>
      <c r="B194" t="str">
        <f>IFERROR(MID(Customers_0!B194,1,SEARCH(",",Customers_0!B194)-1),Customers_0!B194)</f>
        <v>Dr. Tiroke</v>
      </c>
      <c r="C194" t="str">
        <f t="shared" ref="C194:C257" si="12">IFERROR(
 IF(OR(
   LEFT(B194,3)="Dr.",
   LEFT(B194,2)="Dr",
   LEFT(B194,4)="Dres",
   LEFT(B194,5)="Dres.",
   LEFT(B194,4)="Prof",
   LEFT(B194,5)="Prof.",
   LEFT(B194,3)="PD ",
   LEFT(B194,7)="Priv.-D"
 ),
  LEFT(B194,SEARCH(" ",B194)-1),
  ""
 ),
"")</f>
        <v>Dr.</v>
      </c>
      <c r="D194" t="str">
        <f t="shared" ref="D194:D257" si="13">IFERROR(
 IF(C194="",
  "",
  IF(ISNUMBER(SEARCH(".",MID(B194,LEN(C194)+2,3))),
    MID(B194,LEN(C194)+2,2),
    ""
  )
 ),
"")</f>
        <v/>
      </c>
      <c r="E194" t="str">
        <f t="shared" ref="E194:E257" si="14">IFERROR(
 TRIM(
   IF(C194="",
        IF(ISNUMBER(SEARCH(",",B194)), LEFT(B194,SEARCH(",",B194)-1), B194),
        IF(D194="",
             TRIM(MID(B194, LEN(C194)+2, 999)),
             TRIM(MID(B194, LEN(C194&amp;" "&amp;D194)+2, 999))
        )
   )
 ),
""
)</f>
        <v>Tiroke</v>
      </c>
      <c r="N194" t="str">
        <f>IF(OR(ISNUMBER(SEARCH("weg",[1]Tabelle1!C194&amp;Customers_0!D194)),
          ISNUMBER(SEARCH("gekündigt",Customers_0!C194&amp;Customers_0!D194)),
          ISNUMBER(SEARCH("rente",LOWER(Customers_0!C194&amp;Customers_0!D194)))),
   "INACTIVE",
   "ACTIVE")</f>
        <v>ACTIVE</v>
      </c>
      <c r="O194" t="str">
        <f t="shared" ref="O194:O257" si="15">IF(OR(
   ISERROR(D194),
   ISERROR(E194),
   ISNUMBER(SEARCH("/",E194)),
   ISNUMBER(SEARCH("-",E194))
 ),"PRÜFEN","OK")</f>
        <v>OK</v>
      </c>
    </row>
    <row r="195" spans="1:15" x14ac:dyDescent="0.2">
      <c r="A195">
        <f>Customers_0!A195</f>
        <v>20668</v>
      </c>
      <c r="B195" t="str">
        <f>IFERROR(MID(Customers_0!B195,1,SEARCH(",",Customers_0!B195)-1),Customers_0!B195)</f>
        <v>Herzsport Gomaringen</v>
      </c>
      <c r="C195" t="str">
        <f t="shared" si="12"/>
        <v/>
      </c>
      <c r="D195" t="str">
        <f t="shared" si="13"/>
        <v/>
      </c>
      <c r="E195" t="str">
        <f t="shared" si="14"/>
        <v>Herzsport Gomaringen</v>
      </c>
      <c r="N195" t="str">
        <f>IF(OR(ISNUMBER(SEARCH("weg",[1]Tabelle1!C195&amp;Customers_0!D195)),
          ISNUMBER(SEARCH("gekündigt",Customers_0!C195&amp;Customers_0!D195)),
          ISNUMBER(SEARCH("rente",LOWER(Customers_0!C195&amp;Customers_0!D195)))),
   "INACTIVE",
   "ACTIVE")</f>
        <v>ACTIVE</v>
      </c>
      <c r="O195" t="str">
        <f t="shared" si="15"/>
        <v>OK</v>
      </c>
    </row>
    <row r="196" spans="1:15" x14ac:dyDescent="0.2">
      <c r="A196">
        <f>Customers_0!A196</f>
        <v>20671</v>
      </c>
      <c r="B196" t="str">
        <f>IFERROR(MID(Customers_0!B196,1,SEARCH(",",Customers_0!B196)-1),Customers_0!B196)</f>
        <v>Dres. Rieger-M./ Pfeiffer</v>
      </c>
      <c r="C196" t="str">
        <f t="shared" si="12"/>
        <v>Dres.</v>
      </c>
      <c r="D196" t="str">
        <f t="shared" si="13"/>
        <v/>
      </c>
      <c r="E196" t="str">
        <f t="shared" si="14"/>
        <v>Rieger-M./ Pfeiffer</v>
      </c>
      <c r="N196" t="str">
        <f>IF(OR(ISNUMBER(SEARCH("weg",[1]Tabelle1!C196&amp;Customers_0!D196)),
          ISNUMBER(SEARCH("gekündigt",Customers_0!C196&amp;Customers_0!D196)),
          ISNUMBER(SEARCH("rente",LOWER(Customers_0!C196&amp;Customers_0!D196)))),
   "INACTIVE",
   "ACTIVE")</f>
        <v>ACTIVE</v>
      </c>
      <c r="O196" t="str">
        <f t="shared" si="15"/>
        <v>PRÜFEN</v>
      </c>
    </row>
    <row r="197" spans="1:15" x14ac:dyDescent="0.2">
      <c r="A197">
        <f>Customers_0!A197</f>
        <v>20680</v>
      </c>
      <c r="B197" t="str">
        <f>IFERROR(MID(Customers_0!B197,1,SEARCH(",",Customers_0!B197)-1),Customers_0!B197)</f>
        <v>Dr. Thalhammer</v>
      </c>
      <c r="C197" t="str">
        <f t="shared" si="12"/>
        <v>Dr.</v>
      </c>
      <c r="D197" t="str">
        <f t="shared" si="13"/>
        <v/>
      </c>
      <c r="E197" t="str">
        <f t="shared" si="14"/>
        <v>Thalhammer</v>
      </c>
      <c r="N197" t="str">
        <f>IF(OR(ISNUMBER(SEARCH("weg",[1]Tabelle1!C197&amp;Customers_0!D197)),
          ISNUMBER(SEARCH("gekündigt",Customers_0!C197&amp;Customers_0!D197)),
          ISNUMBER(SEARCH("rente",LOWER(Customers_0!C197&amp;Customers_0!D197)))),
   "INACTIVE",
   "ACTIVE")</f>
        <v>ACTIVE</v>
      </c>
      <c r="O197" t="str">
        <f t="shared" si="15"/>
        <v>OK</v>
      </c>
    </row>
    <row r="198" spans="1:15" x14ac:dyDescent="0.2">
      <c r="A198">
        <f>Customers_0!A198</f>
        <v>20683</v>
      </c>
      <c r="B198" t="str">
        <f>IFERROR(MID(Customers_0!B198,1,SEARCH(",",Customers_0!B198)-1),Customers_0!B198)</f>
        <v>Susanne Brinkmann</v>
      </c>
      <c r="C198" t="str">
        <f t="shared" si="12"/>
        <v/>
      </c>
      <c r="D198" t="str">
        <f t="shared" si="13"/>
        <v/>
      </c>
      <c r="E198" t="str">
        <f t="shared" si="14"/>
        <v>Susanne Brinkmann</v>
      </c>
      <c r="N198" t="str">
        <f>IF(OR(ISNUMBER(SEARCH("weg",[1]Tabelle1!C198&amp;Customers_0!D198)),
          ISNUMBER(SEARCH("gekündigt",Customers_0!C198&amp;Customers_0!D198)),
          ISNUMBER(SEARCH("rente",LOWER(Customers_0!C198&amp;Customers_0!D198)))),
   "INACTIVE",
   "ACTIVE")</f>
        <v>ACTIVE</v>
      </c>
      <c r="O198" t="str">
        <f t="shared" si="15"/>
        <v>OK</v>
      </c>
    </row>
    <row r="199" spans="1:15" x14ac:dyDescent="0.2">
      <c r="A199">
        <f>Customers_0!A199</f>
        <v>20685</v>
      </c>
      <c r="B199" t="str">
        <f>IFERROR(MID(Customers_0!B199,1,SEARCH(",",Customers_0!B199)-1),Customers_0!B199)</f>
        <v>Ralph Reck</v>
      </c>
      <c r="C199" t="str">
        <f t="shared" si="12"/>
        <v/>
      </c>
      <c r="D199" t="str">
        <f t="shared" si="13"/>
        <v/>
      </c>
      <c r="E199" t="str">
        <f t="shared" si="14"/>
        <v>Ralph Reck</v>
      </c>
      <c r="N199" t="str">
        <f>IF(OR(ISNUMBER(SEARCH("weg",[1]Tabelle1!C199&amp;Customers_0!D199)),
          ISNUMBER(SEARCH("gekündigt",Customers_0!C199&amp;Customers_0!D199)),
          ISNUMBER(SEARCH("rente",LOWER(Customers_0!C199&amp;Customers_0!D199)))),
   "INACTIVE",
   "ACTIVE")</f>
        <v>ACTIVE</v>
      </c>
      <c r="O199" t="str">
        <f t="shared" si="15"/>
        <v>OK</v>
      </c>
    </row>
    <row r="200" spans="1:15" x14ac:dyDescent="0.2">
      <c r="A200">
        <f>Customers_0!A200</f>
        <v>20686</v>
      </c>
      <c r="B200" t="str">
        <f>IFERROR(MID(Customers_0!B200,1,SEARCH(",",Customers_0!B200)-1),Customers_0!B200)</f>
        <v>Dres. Beckenbauer/ Fedel</v>
      </c>
      <c r="C200" t="str">
        <f t="shared" si="12"/>
        <v>Dres.</v>
      </c>
      <c r="D200" t="str">
        <f t="shared" si="13"/>
        <v/>
      </c>
      <c r="E200" t="str">
        <f t="shared" si="14"/>
        <v>Beckenbauer/ Fedel</v>
      </c>
      <c r="N200" t="str">
        <f>IF(OR(ISNUMBER(SEARCH("weg",[1]Tabelle1!C200&amp;Customers_0!D200)),
          ISNUMBER(SEARCH("gekündigt",Customers_0!C200&amp;Customers_0!D200)),
          ISNUMBER(SEARCH("rente",LOWER(Customers_0!C200&amp;Customers_0!D200)))),
   "INACTIVE",
   "ACTIVE")</f>
        <v>ACTIVE</v>
      </c>
      <c r="O200" t="str">
        <f t="shared" si="15"/>
        <v>PRÜFEN</v>
      </c>
    </row>
    <row r="201" spans="1:15" x14ac:dyDescent="0.2">
      <c r="A201">
        <f>Customers_0!A201</f>
        <v>20689</v>
      </c>
      <c r="B201" t="str">
        <f>IFERROR(MID(Customers_0!B201,1,SEARCH(",",Customers_0!B201)-1),Customers_0!B201)</f>
        <v>Dr. S.Küster</v>
      </c>
      <c r="C201" t="str">
        <f t="shared" si="12"/>
        <v>Dr.</v>
      </c>
      <c r="D201" t="str">
        <f t="shared" si="13"/>
        <v>S.</v>
      </c>
      <c r="E201" t="str">
        <f t="shared" si="14"/>
        <v>üster</v>
      </c>
      <c r="N201" t="str">
        <f>IF(OR(ISNUMBER(SEARCH("weg",[1]Tabelle1!C201&amp;Customers_0!D201)),
          ISNUMBER(SEARCH("gekündigt",Customers_0!C201&amp;Customers_0!D201)),
          ISNUMBER(SEARCH("rente",LOWER(Customers_0!C201&amp;Customers_0!D201)))),
   "INACTIVE",
   "ACTIVE")</f>
        <v>ACTIVE</v>
      </c>
      <c r="O201" t="str">
        <f t="shared" si="15"/>
        <v>OK</v>
      </c>
    </row>
    <row r="202" spans="1:15" x14ac:dyDescent="0.2">
      <c r="A202">
        <f>Customers_0!A202</f>
        <v>20691</v>
      </c>
      <c r="B202" t="str">
        <f>IFERROR(MID(Customers_0!B202,1,SEARCH(",",Customers_0!B202)-1),Customers_0!B202)</f>
        <v>Dr. Langbein</v>
      </c>
      <c r="C202" t="str">
        <f t="shared" si="12"/>
        <v>Dr.</v>
      </c>
      <c r="D202" t="str">
        <f t="shared" si="13"/>
        <v/>
      </c>
      <c r="E202" t="str">
        <f t="shared" si="14"/>
        <v>Langbein</v>
      </c>
      <c r="N202" t="str">
        <f>IF(OR(ISNUMBER(SEARCH("weg",[1]Tabelle1!C202&amp;Customers_0!D202)),
          ISNUMBER(SEARCH("gekündigt",Customers_0!C202&amp;Customers_0!D202)),
          ISNUMBER(SEARCH("rente",LOWER(Customers_0!C202&amp;Customers_0!D202)))),
   "INACTIVE",
   "ACTIVE")</f>
        <v>ACTIVE</v>
      </c>
      <c r="O202" t="str">
        <f t="shared" si="15"/>
        <v>OK</v>
      </c>
    </row>
    <row r="203" spans="1:15" x14ac:dyDescent="0.2">
      <c r="A203">
        <f>Customers_0!A203</f>
        <v>20693</v>
      </c>
      <c r="B203" t="str">
        <f>IFERROR(MID(Customers_0!B203,1,SEARCH(",",Customers_0!B203)-1),Customers_0!B203)</f>
        <v>Ruck-Knörzer</v>
      </c>
      <c r="C203" t="str">
        <f t="shared" si="12"/>
        <v/>
      </c>
      <c r="D203" t="str">
        <f t="shared" si="13"/>
        <v/>
      </c>
      <c r="E203" t="str">
        <f t="shared" si="14"/>
        <v>Ruck-Knörzer</v>
      </c>
      <c r="N203" t="str">
        <f>IF(OR(ISNUMBER(SEARCH("weg",[1]Tabelle1!C203&amp;Customers_0!D203)),
          ISNUMBER(SEARCH("gekündigt",Customers_0!C203&amp;Customers_0!D203)),
          ISNUMBER(SEARCH("rente",LOWER(Customers_0!C203&amp;Customers_0!D203)))),
   "INACTIVE",
   "ACTIVE")</f>
        <v>ACTIVE</v>
      </c>
      <c r="O203" t="str">
        <f t="shared" si="15"/>
        <v>PRÜFEN</v>
      </c>
    </row>
    <row r="204" spans="1:15" x14ac:dyDescent="0.2">
      <c r="A204">
        <f>Customers_0!A204</f>
        <v>20695</v>
      </c>
      <c r="B204" t="str">
        <f>IFERROR(MID(Customers_0!B204,1,SEARCH(",",Customers_0!B204)-1),Customers_0!B204)</f>
        <v>Dr. Hauser-Tillmann</v>
      </c>
      <c r="C204" t="str">
        <f t="shared" si="12"/>
        <v>Dr.</v>
      </c>
      <c r="D204" t="str">
        <f t="shared" si="13"/>
        <v/>
      </c>
      <c r="E204" t="str">
        <f t="shared" si="14"/>
        <v>Hauser-Tillmann</v>
      </c>
      <c r="N204" t="str">
        <f>IF(OR(ISNUMBER(SEARCH("weg",[1]Tabelle1!C204&amp;Customers_0!D204)),
          ISNUMBER(SEARCH("gekündigt",Customers_0!C204&amp;Customers_0!D204)),
          ISNUMBER(SEARCH("rente",LOWER(Customers_0!C204&amp;Customers_0!D204)))),
   "INACTIVE",
   "ACTIVE")</f>
        <v>ACTIVE</v>
      </c>
      <c r="O204" t="str">
        <f t="shared" si="15"/>
        <v>PRÜFEN</v>
      </c>
    </row>
    <row r="205" spans="1:15" x14ac:dyDescent="0.2">
      <c r="A205">
        <f>Customers_0!A205</f>
        <v>20696</v>
      </c>
      <c r="B205" t="str">
        <f>IFERROR(MID(Customers_0!B205,1,SEARCH(",",Customers_0!B205)-1),Customers_0!B205)</f>
        <v>Gabler-Apotheke</v>
      </c>
      <c r="C205" t="str">
        <f t="shared" si="12"/>
        <v/>
      </c>
      <c r="D205" t="str">
        <f t="shared" si="13"/>
        <v/>
      </c>
      <c r="E205" t="str">
        <f t="shared" si="14"/>
        <v>Gabler-Apotheke</v>
      </c>
      <c r="N205" t="str">
        <f>IF(OR(ISNUMBER(SEARCH("weg",[1]Tabelle1!C205&amp;Customers_0!D205)),
          ISNUMBER(SEARCH("gekündigt",Customers_0!C205&amp;Customers_0!D205)),
          ISNUMBER(SEARCH("rente",LOWER(Customers_0!C205&amp;Customers_0!D205)))),
   "INACTIVE",
   "ACTIVE")</f>
        <v>INACTIVE</v>
      </c>
      <c r="O205" t="str">
        <f t="shared" si="15"/>
        <v>PRÜFEN</v>
      </c>
    </row>
    <row r="206" spans="1:15" x14ac:dyDescent="0.2">
      <c r="A206">
        <f>Customers_0!A206</f>
        <v>20698</v>
      </c>
      <c r="B206" t="str">
        <f>IFERROR(MID(Customers_0!B206,1,SEARCH(",",Customers_0!B206)-1),Customers_0!B206)</f>
        <v>Dr. Behnke</v>
      </c>
      <c r="C206" t="str">
        <f t="shared" si="12"/>
        <v>Dr.</v>
      </c>
      <c r="D206" t="str">
        <f t="shared" si="13"/>
        <v/>
      </c>
      <c r="E206" t="str">
        <f t="shared" si="14"/>
        <v>Behnke</v>
      </c>
      <c r="N206" t="str">
        <f>IF(OR(ISNUMBER(SEARCH("weg",[1]Tabelle1!C206&amp;Customers_0!D206)),
          ISNUMBER(SEARCH("gekündigt",Customers_0!C206&amp;Customers_0!D206)),
          ISNUMBER(SEARCH("rente",LOWER(Customers_0!C206&amp;Customers_0!D206)))),
   "INACTIVE",
   "ACTIVE")</f>
        <v>ACTIVE</v>
      </c>
      <c r="O206" t="str">
        <f t="shared" si="15"/>
        <v>OK</v>
      </c>
    </row>
    <row r="207" spans="1:15" x14ac:dyDescent="0.2">
      <c r="A207">
        <f>Customers_0!A207</f>
        <v>20699</v>
      </c>
      <c r="B207" t="str">
        <f>IFERROR(MID(Customers_0!B207,1,SEARCH(",",Customers_0!B207)-1),Customers_0!B207)</f>
        <v>Dr. Klingmann</v>
      </c>
      <c r="C207" t="str">
        <f t="shared" si="12"/>
        <v>Dr.</v>
      </c>
      <c r="D207" t="str">
        <f t="shared" si="13"/>
        <v/>
      </c>
      <c r="E207" t="str">
        <f t="shared" si="14"/>
        <v>Klingmann</v>
      </c>
      <c r="N207" t="str">
        <f>IF(OR(ISNUMBER(SEARCH("weg",[1]Tabelle1!C207&amp;Customers_0!D207)),
          ISNUMBER(SEARCH("gekündigt",Customers_0!C207&amp;Customers_0!D207)),
          ISNUMBER(SEARCH("rente",LOWER(Customers_0!C207&amp;Customers_0!D207)))),
   "INACTIVE",
   "ACTIVE")</f>
        <v>ACTIVE</v>
      </c>
      <c r="O207" t="str">
        <f t="shared" si="15"/>
        <v>OK</v>
      </c>
    </row>
    <row r="208" spans="1:15" x14ac:dyDescent="0.2">
      <c r="A208">
        <f>Customers_0!A208</f>
        <v>20701</v>
      </c>
      <c r="B208" t="str">
        <f>IFERROR(MID(Customers_0!B208,1,SEARCH(",",Customers_0!B208)-1),Customers_0!B208)</f>
        <v>Dr. Golling</v>
      </c>
      <c r="C208" t="str">
        <f t="shared" si="12"/>
        <v>Dr.</v>
      </c>
      <c r="D208" t="str">
        <f t="shared" si="13"/>
        <v/>
      </c>
      <c r="E208" t="str">
        <f t="shared" si="14"/>
        <v>Golling</v>
      </c>
      <c r="N208" t="str">
        <f>IF(OR(ISNUMBER(SEARCH("weg",[1]Tabelle1!C208&amp;Customers_0!D208)),
          ISNUMBER(SEARCH("gekündigt",Customers_0!C208&amp;Customers_0!D208)),
          ISNUMBER(SEARCH("rente",LOWER(Customers_0!C208&amp;Customers_0!D208)))),
   "INACTIVE",
   "ACTIVE")</f>
        <v>ACTIVE</v>
      </c>
      <c r="O208" t="str">
        <f t="shared" si="15"/>
        <v>OK</v>
      </c>
    </row>
    <row r="209" spans="1:15" x14ac:dyDescent="0.2">
      <c r="A209">
        <f>Customers_0!A209</f>
        <v>20702</v>
      </c>
      <c r="B209" t="str">
        <f>IFERROR(MID(Customers_0!B209,1,SEARCH(",",Customers_0!B209)-1),Customers_0!B209)</f>
        <v>Dr. Kopatz</v>
      </c>
      <c r="C209" t="str">
        <f t="shared" si="12"/>
        <v>Dr.</v>
      </c>
      <c r="D209" t="str">
        <f t="shared" si="13"/>
        <v/>
      </c>
      <c r="E209" t="str">
        <f t="shared" si="14"/>
        <v>Kopatz</v>
      </c>
      <c r="N209" t="str">
        <f>IF(OR(ISNUMBER(SEARCH("weg",[1]Tabelle1!C209&amp;Customers_0!D209)),
          ISNUMBER(SEARCH("gekündigt",Customers_0!C209&amp;Customers_0!D209)),
          ISNUMBER(SEARCH("rente",LOWER(Customers_0!C209&amp;Customers_0!D209)))),
   "INACTIVE",
   "ACTIVE")</f>
        <v>INACTIVE</v>
      </c>
      <c r="O209" t="str">
        <f t="shared" si="15"/>
        <v>OK</v>
      </c>
    </row>
    <row r="210" spans="1:15" x14ac:dyDescent="0.2">
      <c r="A210">
        <f>Customers_0!A210</f>
        <v>20703</v>
      </c>
      <c r="B210" t="str">
        <f>IFERROR(MID(Customers_0!B210,1,SEARCH(",",Customers_0!B210)-1),Customers_0!B210)</f>
        <v>Dres.Soballa/Erhard</v>
      </c>
      <c r="C210" t="str">
        <f t="shared" si="12"/>
        <v/>
      </c>
      <c r="D210" t="str">
        <f t="shared" si="13"/>
        <v/>
      </c>
      <c r="E210" t="str">
        <f t="shared" si="14"/>
        <v>Dres.Soballa/Erhard</v>
      </c>
      <c r="N210" t="str">
        <f>IF(OR(ISNUMBER(SEARCH("weg",[1]Tabelle1!C210&amp;Customers_0!D210)),
          ISNUMBER(SEARCH("gekündigt",Customers_0!C210&amp;Customers_0!D210)),
          ISNUMBER(SEARCH("rente",LOWER(Customers_0!C210&amp;Customers_0!D210)))),
   "INACTIVE",
   "ACTIVE")</f>
        <v>ACTIVE</v>
      </c>
      <c r="O210" t="str">
        <f t="shared" si="15"/>
        <v>PRÜFEN</v>
      </c>
    </row>
    <row r="211" spans="1:15" x14ac:dyDescent="0.2">
      <c r="A211">
        <f>Customers_0!A211</f>
        <v>20708</v>
      </c>
      <c r="B211" t="str">
        <f>IFERROR(MID(Customers_0!B211,1,SEARCH(",",Customers_0!B211)-1),Customers_0!B211)</f>
        <v>Gerald Schmidtke</v>
      </c>
      <c r="C211" t="str">
        <f t="shared" si="12"/>
        <v/>
      </c>
      <c r="D211" t="str">
        <f t="shared" si="13"/>
        <v/>
      </c>
      <c r="E211" t="str">
        <f t="shared" si="14"/>
        <v>Gerald Schmidtke</v>
      </c>
      <c r="N211" t="str">
        <f>IF(OR(ISNUMBER(SEARCH("weg",[1]Tabelle1!C211&amp;Customers_0!D211)),
          ISNUMBER(SEARCH("gekündigt",Customers_0!C211&amp;Customers_0!D211)),
          ISNUMBER(SEARCH("rente",LOWER(Customers_0!C211&amp;Customers_0!D211)))),
   "INACTIVE",
   "ACTIVE")</f>
        <v>ACTIVE</v>
      </c>
      <c r="O211" t="str">
        <f t="shared" si="15"/>
        <v>OK</v>
      </c>
    </row>
    <row r="212" spans="1:15" x14ac:dyDescent="0.2">
      <c r="A212">
        <f>Customers_0!A212</f>
        <v>20711</v>
      </c>
      <c r="B212" t="str">
        <f>IFERROR(MID(Customers_0!B212,1,SEARCH(",",Customers_0!B212)-1),Customers_0!B212)</f>
        <v>Dr. Zotzmann</v>
      </c>
      <c r="C212" t="str">
        <f t="shared" si="12"/>
        <v>Dr.</v>
      </c>
      <c r="D212" t="str">
        <f t="shared" si="13"/>
        <v/>
      </c>
      <c r="E212" t="str">
        <f t="shared" si="14"/>
        <v>Zotzmann</v>
      </c>
      <c r="N212" t="str">
        <f>IF(OR(ISNUMBER(SEARCH("weg",[1]Tabelle1!C212&amp;Customers_0!D212)),
          ISNUMBER(SEARCH("gekündigt",Customers_0!C212&amp;Customers_0!D212)),
          ISNUMBER(SEARCH("rente",LOWER(Customers_0!C212&amp;Customers_0!D212)))),
   "INACTIVE",
   "ACTIVE")</f>
        <v>ACTIVE</v>
      </c>
      <c r="O212" t="str">
        <f t="shared" si="15"/>
        <v>OK</v>
      </c>
    </row>
    <row r="213" spans="1:15" x14ac:dyDescent="0.2">
      <c r="A213">
        <f>Customers_0!A213</f>
        <v>20716</v>
      </c>
      <c r="B213" t="str">
        <f>IFERROR(MID(Customers_0!B213,1,SEARCH(",",Customers_0!B213)-1),Customers_0!B213)</f>
        <v>Dr. Schröder</v>
      </c>
      <c r="C213" t="str">
        <f t="shared" si="12"/>
        <v>Dr.</v>
      </c>
      <c r="D213" t="str">
        <f t="shared" si="13"/>
        <v/>
      </c>
      <c r="E213" t="str">
        <f t="shared" si="14"/>
        <v>Schröder</v>
      </c>
      <c r="N213" t="str">
        <f>IF(OR(ISNUMBER(SEARCH("weg",[1]Tabelle1!C213&amp;Customers_0!D213)),
          ISNUMBER(SEARCH("gekündigt",Customers_0!C213&amp;Customers_0!D213)),
          ISNUMBER(SEARCH("rente",LOWER(Customers_0!C213&amp;Customers_0!D213)))),
   "INACTIVE",
   "ACTIVE")</f>
        <v>ACTIVE</v>
      </c>
      <c r="O213" t="str">
        <f t="shared" si="15"/>
        <v>OK</v>
      </c>
    </row>
    <row r="214" spans="1:15" x14ac:dyDescent="0.2">
      <c r="A214">
        <f>Customers_0!A214</f>
        <v>20717</v>
      </c>
      <c r="B214" t="str">
        <f>IFERROR(MID(Customers_0!B214,1,SEARCH(",",Customers_0!B214)-1),Customers_0!B214)</f>
        <v>Dres. Wiesenberg</v>
      </c>
      <c r="C214" t="str">
        <f t="shared" si="12"/>
        <v>Dres.</v>
      </c>
      <c r="D214" t="str">
        <f t="shared" si="13"/>
        <v/>
      </c>
      <c r="E214" t="str">
        <f t="shared" si="14"/>
        <v>Wiesenberg</v>
      </c>
      <c r="N214" t="str">
        <f>IF(OR(ISNUMBER(SEARCH("weg",[1]Tabelle1!C214&amp;Customers_0!D214)),
          ISNUMBER(SEARCH("gekündigt",Customers_0!C214&amp;Customers_0!D214)),
          ISNUMBER(SEARCH("rente",LOWER(Customers_0!C214&amp;Customers_0!D214)))),
   "INACTIVE",
   "ACTIVE")</f>
        <v>INACTIVE</v>
      </c>
      <c r="O214" t="str">
        <f t="shared" si="15"/>
        <v>OK</v>
      </c>
    </row>
    <row r="215" spans="1:15" x14ac:dyDescent="0.2">
      <c r="A215">
        <f>Customers_0!A215</f>
        <v>20718</v>
      </c>
      <c r="B215" t="str">
        <f>IFERROR(MID(Customers_0!B215,1,SEARCH(",",Customers_0!B215)-1),Customers_0!B215)</f>
        <v>Dr. Exner</v>
      </c>
      <c r="C215" t="str">
        <f t="shared" si="12"/>
        <v>Dr.</v>
      </c>
      <c r="D215" t="str">
        <f t="shared" si="13"/>
        <v/>
      </c>
      <c r="E215" t="str">
        <f t="shared" si="14"/>
        <v>Exner</v>
      </c>
      <c r="N215" t="str">
        <f>IF(OR(ISNUMBER(SEARCH("weg",[1]Tabelle1!C215&amp;Customers_0!D215)),
          ISNUMBER(SEARCH("gekündigt",Customers_0!C215&amp;Customers_0!D215)),
          ISNUMBER(SEARCH("rente",LOWER(Customers_0!C215&amp;Customers_0!D215)))),
   "INACTIVE",
   "ACTIVE")</f>
        <v>ACTIVE</v>
      </c>
      <c r="O215" t="str">
        <f t="shared" si="15"/>
        <v>OK</v>
      </c>
    </row>
    <row r="216" spans="1:15" x14ac:dyDescent="0.2">
      <c r="A216">
        <f>Customers_0!A216</f>
        <v>20722</v>
      </c>
      <c r="B216" t="str">
        <f>IFERROR(MID(Customers_0!B216,1,SEARCH(",",Customers_0!B216)-1),Customers_0!B216)</f>
        <v>Hilschenz-Bucher</v>
      </c>
      <c r="C216" t="str">
        <f t="shared" si="12"/>
        <v/>
      </c>
      <c r="D216" t="str">
        <f t="shared" si="13"/>
        <v/>
      </c>
      <c r="E216" t="str">
        <f t="shared" si="14"/>
        <v>Hilschenz-Bucher</v>
      </c>
      <c r="N216" t="str">
        <f>IF(OR(ISNUMBER(SEARCH("weg",[1]Tabelle1!C216&amp;Customers_0!D216)),
          ISNUMBER(SEARCH("gekündigt",Customers_0!C216&amp;Customers_0!D216)),
          ISNUMBER(SEARCH("rente",LOWER(Customers_0!C216&amp;Customers_0!D216)))),
   "INACTIVE",
   "ACTIVE")</f>
        <v>ACTIVE</v>
      </c>
      <c r="O216" t="str">
        <f t="shared" si="15"/>
        <v>PRÜFEN</v>
      </c>
    </row>
    <row r="217" spans="1:15" x14ac:dyDescent="0.2">
      <c r="A217">
        <f>Customers_0!A217</f>
        <v>20723</v>
      </c>
      <c r="B217" t="str">
        <f>IFERROR(MID(Customers_0!B217,1,SEARCH(",",Customers_0!B217)-1),Customers_0!B217)</f>
        <v>Dr. Barthel</v>
      </c>
      <c r="C217" t="str">
        <f t="shared" si="12"/>
        <v>Dr.</v>
      </c>
      <c r="D217" t="str">
        <f t="shared" si="13"/>
        <v/>
      </c>
      <c r="E217" t="str">
        <f t="shared" si="14"/>
        <v>Barthel</v>
      </c>
      <c r="N217" t="str">
        <f>IF(OR(ISNUMBER(SEARCH("weg",[1]Tabelle1!C217&amp;Customers_0!D217)),
          ISNUMBER(SEARCH("gekündigt",Customers_0!C217&amp;Customers_0!D217)),
          ISNUMBER(SEARCH("rente",LOWER(Customers_0!C217&amp;Customers_0!D217)))),
   "INACTIVE",
   "ACTIVE")</f>
        <v>ACTIVE</v>
      </c>
      <c r="O217" t="str">
        <f t="shared" si="15"/>
        <v>OK</v>
      </c>
    </row>
    <row r="218" spans="1:15" x14ac:dyDescent="0.2">
      <c r="A218">
        <f>Customers_0!A218</f>
        <v>20725</v>
      </c>
      <c r="B218" t="str">
        <f>IFERROR(MID(Customers_0!B218,1,SEARCH(",",Customers_0!B218)-1),Customers_0!B218)</f>
        <v>Dr. Pioch</v>
      </c>
      <c r="C218" t="str">
        <f t="shared" si="12"/>
        <v>Dr.</v>
      </c>
      <c r="D218" t="str">
        <f t="shared" si="13"/>
        <v/>
      </c>
      <c r="E218" t="str">
        <f t="shared" si="14"/>
        <v>Pioch</v>
      </c>
      <c r="N218" t="str">
        <f>IF(OR(ISNUMBER(SEARCH("weg",[1]Tabelle1!C218&amp;Customers_0!D218)),
          ISNUMBER(SEARCH("gekündigt",Customers_0!C218&amp;Customers_0!D218)),
          ISNUMBER(SEARCH("rente",LOWER(Customers_0!C218&amp;Customers_0!D218)))),
   "INACTIVE",
   "ACTIVE")</f>
        <v>INACTIVE</v>
      </c>
      <c r="O218" t="str">
        <f t="shared" si="15"/>
        <v>OK</v>
      </c>
    </row>
    <row r="219" spans="1:15" x14ac:dyDescent="0.2">
      <c r="A219">
        <f>Customers_0!A219</f>
        <v>20726</v>
      </c>
      <c r="B219" t="str">
        <f>IFERROR(MID(Customers_0!B219,1,SEARCH(",",Customers_0!B219)-1),Customers_0!B219)</f>
        <v>Dr. Th.Martin</v>
      </c>
      <c r="C219" t="str">
        <f t="shared" si="12"/>
        <v>Dr.</v>
      </c>
      <c r="D219" t="str">
        <f t="shared" si="13"/>
        <v>Th</v>
      </c>
      <c r="E219" t="str">
        <f t="shared" si="14"/>
        <v>Martin</v>
      </c>
      <c r="N219" t="str">
        <f>IF(OR(ISNUMBER(SEARCH("weg",[1]Tabelle1!C219&amp;Customers_0!D219)),
          ISNUMBER(SEARCH("gekündigt",Customers_0!C219&amp;Customers_0!D219)),
          ISNUMBER(SEARCH("rente",LOWER(Customers_0!C219&amp;Customers_0!D219)))),
   "INACTIVE",
   "ACTIVE")</f>
        <v>ACTIVE</v>
      </c>
      <c r="O219" t="str">
        <f t="shared" si="15"/>
        <v>OK</v>
      </c>
    </row>
    <row r="220" spans="1:15" x14ac:dyDescent="0.2">
      <c r="A220">
        <f>Customers_0!A220</f>
        <v>20727</v>
      </c>
      <c r="B220" t="str">
        <f>IFERROR(MID(Customers_0!B220,1,SEARCH(",",Customers_0!B220)-1),Customers_0!B220)</f>
        <v>Dr.Grimme</v>
      </c>
      <c r="C220" t="str">
        <f t="shared" si="12"/>
        <v/>
      </c>
      <c r="D220" t="str">
        <f t="shared" si="13"/>
        <v/>
      </c>
      <c r="E220" t="str">
        <f t="shared" si="14"/>
        <v>Dr.Grimme</v>
      </c>
      <c r="N220" t="str">
        <f>IF(OR(ISNUMBER(SEARCH("weg",[1]Tabelle1!C220&amp;Customers_0!D220)),
          ISNUMBER(SEARCH("gekündigt",Customers_0!C220&amp;Customers_0!D220)),
          ISNUMBER(SEARCH("rente",LOWER(Customers_0!C220&amp;Customers_0!D220)))),
   "INACTIVE",
   "ACTIVE")</f>
        <v>ACTIVE</v>
      </c>
      <c r="O220" t="str">
        <f t="shared" si="15"/>
        <v>OK</v>
      </c>
    </row>
    <row r="221" spans="1:15" x14ac:dyDescent="0.2">
      <c r="A221">
        <f>Customers_0!A221</f>
        <v>20728</v>
      </c>
      <c r="B221" t="str">
        <f>IFERROR(MID(Customers_0!B221,1,SEARCH(",",Customers_0!B221)-1),Customers_0!B221)</f>
        <v>Hamann/Klemm/ Brünner</v>
      </c>
      <c r="C221" t="str">
        <f t="shared" si="12"/>
        <v/>
      </c>
      <c r="D221" t="str">
        <f t="shared" si="13"/>
        <v/>
      </c>
      <c r="E221" t="str">
        <f t="shared" si="14"/>
        <v>Hamann/Klemm/ Brünner</v>
      </c>
      <c r="N221" t="str">
        <f>IF(OR(ISNUMBER(SEARCH("weg",[1]Tabelle1!C221&amp;Customers_0!D221)),
          ISNUMBER(SEARCH("gekündigt",Customers_0!C221&amp;Customers_0!D221)),
          ISNUMBER(SEARCH("rente",LOWER(Customers_0!C221&amp;Customers_0!D221)))),
   "INACTIVE",
   "ACTIVE")</f>
        <v>ACTIVE</v>
      </c>
      <c r="O221" t="str">
        <f t="shared" si="15"/>
        <v>PRÜFEN</v>
      </c>
    </row>
    <row r="222" spans="1:15" x14ac:dyDescent="0.2">
      <c r="A222">
        <f>Customers_0!A222</f>
        <v>20729</v>
      </c>
      <c r="B222" t="str">
        <f>IFERROR(MID(Customers_0!B222,1,SEARCH(",",Customers_0!B222)-1),Customers_0!B222)</f>
        <v>Dr. W. Kral</v>
      </c>
      <c r="C222" t="str">
        <f t="shared" si="12"/>
        <v>Dr.</v>
      </c>
      <c r="D222" t="str">
        <f t="shared" si="13"/>
        <v>W.</v>
      </c>
      <c r="E222" t="str">
        <f t="shared" si="14"/>
        <v>Kral</v>
      </c>
      <c r="N222" t="str">
        <f>IF(OR(ISNUMBER(SEARCH("weg",[1]Tabelle1!C222&amp;Customers_0!D222)),
          ISNUMBER(SEARCH("gekündigt",Customers_0!C222&amp;Customers_0!D222)),
          ISNUMBER(SEARCH("rente",LOWER(Customers_0!C222&amp;Customers_0!D222)))),
   "INACTIVE",
   "ACTIVE")</f>
        <v>INACTIVE</v>
      </c>
      <c r="O222" t="str">
        <f t="shared" si="15"/>
        <v>OK</v>
      </c>
    </row>
    <row r="223" spans="1:15" x14ac:dyDescent="0.2">
      <c r="A223">
        <f>Customers_0!A223</f>
        <v>20730</v>
      </c>
      <c r="B223" t="str">
        <f>IFERROR(MID(Customers_0!B223,1,SEARCH(",",Customers_0!B223)-1),Customers_0!B223)</f>
        <v>Nikolajewski</v>
      </c>
      <c r="C223" t="str">
        <f t="shared" si="12"/>
        <v/>
      </c>
      <c r="D223" t="str">
        <f t="shared" si="13"/>
        <v/>
      </c>
      <c r="E223" t="str">
        <f t="shared" si="14"/>
        <v>Nikolajewski</v>
      </c>
      <c r="N223" t="str">
        <f>IF(OR(ISNUMBER(SEARCH("weg",[1]Tabelle1!C223&amp;Customers_0!D223)),
          ISNUMBER(SEARCH("gekündigt",Customers_0!C223&amp;Customers_0!D223)),
          ISNUMBER(SEARCH("rente",LOWER(Customers_0!C223&amp;Customers_0!D223)))),
   "INACTIVE",
   "ACTIVE")</f>
        <v>ACTIVE</v>
      </c>
      <c r="O223" t="str">
        <f t="shared" si="15"/>
        <v>OK</v>
      </c>
    </row>
    <row r="224" spans="1:15" x14ac:dyDescent="0.2">
      <c r="A224">
        <f>Customers_0!A224</f>
        <v>20732</v>
      </c>
      <c r="B224" t="str">
        <f>IFERROR(MID(Customers_0!B224,1,SEARCH(",",Customers_0!B224)-1),Customers_0!B224)</f>
        <v>Dres. Holzäpfel</v>
      </c>
      <c r="C224" t="str">
        <f t="shared" si="12"/>
        <v>Dres.</v>
      </c>
      <c r="D224" t="str">
        <f t="shared" si="13"/>
        <v/>
      </c>
      <c r="E224" t="str">
        <f t="shared" si="14"/>
        <v>Holzäpfel</v>
      </c>
      <c r="N224" t="str">
        <f>IF(OR(ISNUMBER(SEARCH("weg",[1]Tabelle1!C224&amp;Customers_0!D224)),
          ISNUMBER(SEARCH("gekündigt",Customers_0!C224&amp;Customers_0!D224)),
          ISNUMBER(SEARCH("rente",LOWER(Customers_0!C224&amp;Customers_0!D224)))),
   "INACTIVE",
   "ACTIVE")</f>
        <v>ACTIVE</v>
      </c>
      <c r="O224" t="str">
        <f t="shared" si="15"/>
        <v>OK</v>
      </c>
    </row>
    <row r="225" spans="1:15" x14ac:dyDescent="0.2">
      <c r="A225">
        <f>Customers_0!A225</f>
        <v>20733</v>
      </c>
      <c r="B225" t="str">
        <f>IFERROR(MID(Customers_0!B225,1,SEARCH(",",Customers_0!B225)-1),Customers_0!B225)</f>
        <v>Dr. P. Franz</v>
      </c>
      <c r="C225" t="str">
        <f t="shared" si="12"/>
        <v>Dr.</v>
      </c>
      <c r="D225" t="str">
        <f t="shared" si="13"/>
        <v>P.</v>
      </c>
      <c r="E225" t="str">
        <f t="shared" si="14"/>
        <v>Franz</v>
      </c>
      <c r="N225" t="str">
        <f>IF(OR(ISNUMBER(SEARCH("weg",[1]Tabelle1!C225&amp;Customers_0!D225)),
          ISNUMBER(SEARCH("gekündigt",Customers_0!C225&amp;Customers_0!D225)),
          ISNUMBER(SEARCH("rente",LOWER(Customers_0!C225&amp;Customers_0!D225)))),
   "INACTIVE",
   "ACTIVE")</f>
        <v>ACTIVE</v>
      </c>
      <c r="O225" t="str">
        <f t="shared" si="15"/>
        <v>OK</v>
      </c>
    </row>
    <row r="226" spans="1:15" x14ac:dyDescent="0.2">
      <c r="A226">
        <f>Customers_0!A226</f>
        <v>20736</v>
      </c>
      <c r="B226" t="str">
        <f>IFERROR(MID(Customers_0!B226,1,SEARCH(",",Customers_0!B226)-1),Customers_0!B226)</f>
        <v>Dres. Rieker</v>
      </c>
      <c r="C226" t="str">
        <f t="shared" si="12"/>
        <v>Dres.</v>
      </c>
      <c r="D226" t="str">
        <f t="shared" si="13"/>
        <v/>
      </c>
      <c r="E226" t="str">
        <f t="shared" si="14"/>
        <v>Rieker</v>
      </c>
      <c r="N226" t="str">
        <f>IF(OR(ISNUMBER(SEARCH("weg",[1]Tabelle1!C226&amp;Customers_0!D226)),
          ISNUMBER(SEARCH("gekündigt",Customers_0!C226&amp;Customers_0!D226)),
          ISNUMBER(SEARCH("rente",LOWER(Customers_0!C226&amp;Customers_0!D226)))),
   "INACTIVE",
   "ACTIVE")</f>
        <v>ACTIVE</v>
      </c>
      <c r="O226" t="str">
        <f t="shared" si="15"/>
        <v>OK</v>
      </c>
    </row>
    <row r="227" spans="1:15" x14ac:dyDescent="0.2">
      <c r="A227">
        <f>Customers_0!A227</f>
        <v>20738</v>
      </c>
      <c r="B227" t="str">
        <f>IFERROR(MID(Customers_0!B227,1,SEARCH(",",Customers_0!B227)-1),Customers_0!B227)</f>
        <v>Brumm/ Dr.Grüter</v>
      </c>
      <c r="C227" t="str">
        <f t="shared" si="12"/>
        <v/>
      </c>
      <c r="D227" t="str">
        <f t="shared" si="13"/>
        <v/>
      </c>
      <c r="E227" t="str">
        <f t="shared" si="14"/>
        <v>Brumm/ Dr.Grüter</v>
      </c>
      <c r="N227" t="str">
        <f>IF(OR(ISNUMBER(SEARCH("weg",[1]Tabelle1!C227&amp;Customers_0!D227)),
          ISNUMBER(SEARCH("gekündigt",Customers_0!C227&amp;Customers_0!D227)),
          ISNUMBER(SEARCH("rente",LOWER(Customers_0!C227&amp;Customers_0!D227)))),
   "INACTIVE",
   "ACTIVE")</f>
        <v>ACTIVE</v>
      </c>
      <c r="O227" t="str">
        <f t="shared" si="15"/>
        <v>PRÜFEN</v>
      </c>
    </row>
    <row r="228" spans="1:15" x14ac:dyDescent="0.2">
      <c r="A228">
        <f>Customers_0!A228</f>
        <v>20739</v>
      </c>
      <c r="B228" t="str">
        <f>IFERROR(MID(Customers_0!B228,1,SEARCH(",",Customers_0!B228)-1),Customers_0!B228)</f>
        <v>Dr. Link</v>
      </c>
      <c r="C228" t="str">
        <f t="shared" si="12"/>
        <v>Dr.</v>
      </c>
      <c r="D228" t="str">
        <f t="shared" si="13"/>
        <v/>
      </c>
      <c r="E228" t="str">
        <f t="shared" si="14"/>
        <v>Link</v>
      </c>
      <c r="N228" t="str">
        <f>IF(OR(ISNUMBER(SEARCH("weg",[1]Tabelle1!C228&amp;Customers_0!D228)),
          ISNUMBER(SEARCH("gekündigt",Customers_0!C228&amp;Customers_0!D228)),
          ISNUMBER(SEARCH("rente",LOWER(Customers_0!C228&amp;Customers_0!D228)))),
   "INACTIVE",
   "ACTIVE")</f>
        <v>INACTIVE</v>
      </c>
      <c r="O228" t="str">
        <f t="shared" si="15"/>
        <v>OK</v>
      </c>
    </row>
    <row r="229" spans="1:15" x14ac:dyDescent="0.2">
      <c r="A229">
        <f>Customers_0!A229</f>
        <v>20743</v>
      </c>
      <c r="B229" t="str">
        <f>IFERROR(MID(Customers_0!B229,1,SEARCH(",",Customers_0!B229)-1),Customers_0!B229)</f>
        <v>Dr. Leisen</v>
      </c>
      <c r="C229" t="str">
        <f t="shared" si="12"/>
        <v>Dr.</v>
      </c>
      <c r="D229" t="str">
        <f t="shared" si="13"/>
        <v/>
      </c>
      <c r="E229" t="str">
        <f t="shared" si="14"/>
        <v>Leisen</v>
      </c>
      <c r="N229" t="str">
        <f>IF(OR(ISNUMBER(SEARCH("weg",[1]Tabelle1!C229&amp;Customers_0!D229)),
          ISNUMBER(SEARCH("gekündigt",Customers_0!C229&amp;Customers_0!D229)),
          ISNUMBER(SEARCH("rente",LOWER(Customers_0!C229&amp;Customers_0!D229)))),
   "INACTIVE",
   "ACTIVE")</f>
        <v>ACTIVE</v>
      </c>
      <c r="O229" t="str">
        <f t="shared" si="15"/>
        <v>OK</v>
      </c>
    </row>
    <row r="230" spans="1:15" x14ac:dyDescent="0.2">
      <c r="A230">
        <f>Customers_0!A230</f>
        <v>20744</v>
      </c>
      <c r="B230" t="str">
        <f>IFERROR(MID(Customers_0!B230,1,SEARCH(",",Customers_0!B230)-1),Customers_0!B230)</f>
        <v>Dr. Göthe</v>
      </c>
      <c r="C230" t="str">
        <f t="shared" si="12"/>
        <v>Dr.</v>
      </c>
      <c r="D230" t="str">
        <f t="shared" si="13"/>
        <v/>
      </c>
      <c r="E230" t="str">
        <f t="shared" si="14"/>
        <v>Göthe</v>
      </c>
      <c r="N230" t="str">
        <f>IF(OR(ISNUMBER(SEARCH("weg",[1]Tabelle1!C230&amp;Customers_0!D230)),
          ISNUMBER(SEARCH("gekündigt",Customers_0!C230&amp;Customers_0!D230)),
          ISNUMBER(SEARCH("rente",LOWER(Customers_0!C230&amp;Customers_0!D230)))),
   "INACTIVE",
   "ACTIVE")</f>
        <v>ACTIVE</v>
      </c>
      <c r="O230" t="str">
        <f t="shared" si="15"/>
        <v>OK</v>
      </c>
    </row>
    <row r="231" spans="1:15" x14ac:dyDescent="0.2">
      <c r="A231">
        <f>Customers_0!A231</f>
        <v>20745</v>
      </c>
      <c r="B231" t="str">
        <f>IFERROR(MID(Customers_0!B231,1,SEARCH(",",Customers_0!B231)-1),Customers_0!B231)</f>
        <v>Dr. Thierjung</v>
      </c>
      <c r="C231" t="str">
        <f t="shared" si="12"/>
        <v>Dr.</v>
      </c>
      <c r="D231" t="str">
        <f t="shared" si="13"/>
        <v/>
      </c>
      <c r="E231" t="str">
        <f t="shared" si="14"/>
        <v>Thierjung</v>
      </c>
      <c r="N231" t="str">
        <f>IF(OR(ISNUMBER(SEARCH("weg",[1]Tabelle1!C231&amp;Customers_0!D231)),
          ISNUMBER(SEARCH("gekündigt",Customers_0!C231&amp;Customers_0!D231)),
          ISNUMBER(SEARCH("rente",LOWER(Customers_0!C231&amp;Customers_0!D231)))),
   "INACTIVE",
   "ACTIVE")</f>
        <v>ACTIVE</v>
      </c>
      <c r="O231" t="str">
        <f t="shared" si="15"/>
        <v>OK</v>
      </c>
    </row>
    <row r="232" spans="1:15" x14ac:dyDescent="0.2">
      <c r="A232">
        <f>Customers_0!A232</f>
        <v>20746</v>
      </c>
      <c r="B232" t="str">
        <f>IFERROR(MID(Customers_0!B232,1,SEARCH(",",Customers_0!B232)-1),Customers_0!B232)</f>
        <v>Dr. Mittnacht</v>
      </c>
      <c r="C232" t="str">
        <f t="shared" si="12"/>
        <v>Dr.</v>
      </c>
      <c r="D232" t="str">
        <f t="shared" si="13"/>
        <v/>
      </c>
      <c r="E232" t="str">
        <f t="shared" si="14"/>
        <v>Mittnacht</v>
      </c>
      <c r="N232" t="str">
        <f>IF(OR(ISNUMBER(SEARCH("weg",[1]Tabelle1!C232&amp;Customers_0!D232)),
          ISNUMBER(SEARCH("gekündigt",Customers_0!C232&amp;Customers_0!D232)),
          ISNUMBER(SEARCH("rente",LOWER(Customers_0!C232&amp;Customers_0!D232)))),
   "INACTIVE",
   "ACTIVE")</f>
        <v>ACTIVE</v>
      </c>
      <c r="O232" t="str">
        <f t="shared" si="15"/>
        <v>OK</v>
      </c>
    </row>
    <row r="233" spans="1:15" x14ac:dyDescent="0.2">
      <c r="A233">
        <f>Customers_0!A233</f>
        <v>20748</v>
      </c>
      <c r="B233" t="str">
        <f>IFERROR(MID(Customers_0!B233,1,SEARCH(",",Customers_0!B233)-1),Customers_0!B233)</f>
        <v>Dr. Neussel</v>
      </c>
      <c r="C233" t="str">
        <f t="shared" si="12"/>
        <v>Dr.</v>
      </c>
      <c r="D233" t="str">
        <f t="shared" si="13"/>
        <v/>
      </c>
      <c r="E233" t="str">
        <f t="shared" si="14"/>
        <v>Neussel</v>
      </c>
      <c r="N233" t="str">
        <f>IF(OR(ISNUMBER(SEARCH("weg",[1]Tabelle1!C233&amp;Customers_0!D233)),
          ISNUMBER(SEARCH("gekündigt",Customers_0!C233&amp;Customers_0!D233)),
          ISNUMBER(SEARCH("rente",LOWER(Customers_0!C233&amp;Customers_0!D233)))),
   "INACTIVE",
   "ACTIVE")</f>
        <v>INACTIVE</v>
      </c>
      <c r="O233" t="str">
        <f t="shared" si="15"/>
        <v>OK</v>
      </c>
    </row>
    <row r="234" spans="1:15" x14ac:dyDescent="0.2">
      <c r="A234">
        <f>Customers_0!A234</f>
        <v>20749</v>
      </c>
      <c r="B234" t="str">
        <f>IFERROR(MID(Customers_0!B234,1,SEARCH(",",Customers_0!B234)-1),Customers_0!B234)</f>
        <v>Dr. Stadtmüller</v>
      </c>
      <c r="C234" t="str">
        <f t="shared" si="12"/>
        <v>Dr.</v>
      </c>
      <c r="D234" t="str">
        <f t="shared" si="13"/>
        <v/>
      </c>
      <c r="E234" t="str">
        <f t="shared" si="14"/>
        <v>Stadtmüller</v>
      </c>
      <c r="N234" t="str">
        <f>IF(OR(ISNUMBER(SEARCH("weg",[1]Tabelle1!C234&amp;Customers_0!D234)),
          ISNUMBER(SEARCH("gekündigt",Customers_0!C234&amp;Customers_0!D234)),
          ISNUMBER(SEARCH("rente",LOWER(Customers_0!C234&amp;Customers_0!D234)))),
   "INACTIVE",
   "ACTIVE")</f>
        <v>ACTIVE</v>
      </c>
      <c r="O234" t="str">
        <f t="shared" si="15"/>
        <v>OK</v>
      </c>
    </row>
    <row r="235" spans="1:15" x14ac:dyDescent="0.2">
      <c r="A235">
        <f>Customers_0!A235</f>
        <v>20751</v>
      </c>
      <c r="B235" t="str">
        <f>IFERROR(MID(Customers_0!B235,1,SEARCH(",",Customers_0!B235)-1),Customers_0!B235)</f>
        <v>Dr. Förderer</v>
      </c>
      <c r="C235" t="str">
        <f t="shared" si="12"/>
        <v>Dr.</v>
      </c>
      <c r="D235" t="str">
        <f t="shared" si="13"/>
        <v/>
      </c>
      <c r="E235" t="str">
        <f t="shared" si="14"/>
        <v>Förderer</v>
      </c>
      <c r="N235" t="str">
        <f>IF(OR(ISNUMBER(SEARCH("weg",[1]Tabelle1!C235&amp;Customers_0!D235)),
          ISNUMBER(SEARCH("gekündigt",Customers_0!C235&amp;Customers_0!D235)),
          ISNUMBER(SEARCH("rente",LOWER(Customers_0!C235&amp;Customers_0!D235)))),
   "INACTIVE",
   "ACTIVE")</f>
        <v>INACTIVE</v>
      </c>
      <c r="O235" t="str">
        <f t="shared" si="15"/>
        <v>OK</v>
      </c>
    </row>
    <row r="236" spans="1:15" x14ac:dyDescent="0.2">
      <c r="A236">
        <f>Customers_0!A236</f>
        <v>20752</v>
      </c>
      <c r="B236" t="str">
        <f>IFERROR(MID(Customers_0!B236,1,SEARCH(",",Customers_0!B236)-1),Customers_0!B236)</f>
        <v>Dres. Eber/ Steck</v>
      </c>
      <c r="C236" t="str">
        <f t="shared" si="12"/>
        <v>Dres.</v>
      </c>
      <c r="D236" t="str">
        <f t="shared" si="13"/>
        <v/>
      </c>
      <c r="E236" t="str">
        <f t="shared" si="14"/>
        <v>Eber/ Steck</v>
      </c>
      <c r="N236" t="str">
        <f>IF(OR(ISNUMBER(SEARCH("weg",[1]Tabelle1!C236&amp;Customers_0!D236)),
          ISNUMBER(SEARCH("gekündigt",Customers_0!C236&amp;Customers_0!D236)),
          ISNUMBER(SEARCH("rente",LOWER(Customers_0!C236&amp;Customers_0!D236)))),
   "INACTIVE",
   "ACTIVE")</f>
        <v>ACTIVE</v>
      </c>
      <c r="O236" t="str">
        <f t="shared" si="15"/>
        <v>PRÜFEN</v>
      </c>
    </row>
    <row r="237" spans="1:15" x14ac:dyDescent="0.2">
      <c r="A237">
        <f>Customers_0!A237</f>
        <v>20753</v>
      </c>
      <c r="B237" t="str">
        <f>IFERROR(MID(Customers_0!B237,1,SEARCH(",",Customers_0!B237)-1),Customers_0!B237)</f>
        <v>Dr. Schäufele</v>
      </c>
      <c r="C237" t="str">
        <f t="shared" si="12"/>
        <v>Dr.</v>
      </c>
      <c r="D237" t="str">
        <f t="shared" si="13"/>
        <v/>
      </c>
      <c r="E237" t="str">
        <f t="shared" si="14"/>
        <v>Schäufele</v>
      </c>
      <c r="N237" t="str">
        <f>IF(OR(ISNUMBER(SEARCH("weg",[1]Tabelle1!C237&amp;Customers_0!D237)),
          ISNUMBER(SEARCH("gekündigt",Customers_0!C237&amp;Customers_0!D237)),
          ISNUMBER(SEARCH("rente",LOWER(Customers_0!C237&amp;Customers_0!D237)))),
   "INACTIVE",
   "ACTIVE")</f>
        <v>ACTIVE</v>
      </c>
      <c r="O237" t="str">
        <f t="shared" si="15"/>
        <v>OK</v>
      </c>
    </row>
    <row r="238" spans="1:15" x14ac:dyDescent="0.2">
      <c r="A238">
        <f>Customers_0!A238</f>
        <v>20757</v>
      </c>
      <c r="B238" t="str">
        <f>IFERROR(MID(Customers_0!B238,1,SEARCH(",",Customers_0!B238)-1),Customers_0!B238)</f>
        <v>Dres.Pfeilsticker/Ginader</v>
      </c>
      <c r="C238" t="str">
        <f t="shared" si="12"/>
        <v/>
      </c>
      <c r="D238" t="str">
        <f t="shared" si="13"/>
        <v/>
      </c>
      <c r="E238" t="str">
        <f t="shared" si="14"/>
        <v>Dres.Pfeilsticker/Ginader</v>
      </c>
      <c r="N238" t="str">
        <f>IF(OR(ISNUMBER(SEARCH("weg",[1]Tabelle1!C238&amp;Customers_0!D238)),
          ISNUMBER(SEARCH("gekündigt",Customers_0!C238&amp;Customers_0!D238)),
          ISNUMBER(SEARCH("rente",LOWER(Customers_0!C238&amp;Customers_0!D238)))),
   "INACTIVE",
   "ACTIVE")</f>
        <v>ACTIVE</v>
      </c>
      <c r="O238" t="str">
        <f t="shared" si="15"/>
        <v>PRÜFEN</v>
      </c>
    </row>
    <row r="239" spans="1:15" x14ac:dyDescent="0.2">
      <c r="A239">
        <f>Customers_0!A239</f>
        <v>20759</v>
      </c>
      <c r="B239" t="str">
        <f>IFERROR(MID(Customers_0!B239,1,SEARCH(",",Customers_0!B239)-1),Customers_0!B239)</f>
        <v>Dr. Zeller</v>
      </c>
      <c r="C239" t="str">
        <f t="shared" si="12"/>
        <v>Dr.</v>
      </c>
      <c r="D239" t="str">
        <f t="shared" si="13"/>
        <v/>
      </c>
      <c r="E239" t="str">
        <f t="shared" si="14"/>
        <v>Zeller</v>
      </c>
      <c r="N239" t="str">
        <f>IF(OR(ISNUMBER(SEARCH("weg",[1]Tabelle1!C239&amp;Customers_0!D239)),
          ISNUMBER(SEARCH("gekündigt",Customers_0!C239&amp;Customers_0!D239)),
          ISNUMBER(SEARCH("rente",LOWER(Customers_0!C239&amp;Customers_0!D239)))),
   "INACTIVE",
   "ACTIVE")</f>
        <v>ACTIVE</v>
      </c>
      <c r="O239" t="str">
        <f t="shared" si="15"/>
        <v>OK</v>
      </c>
    </row>
    <row r="240" spans="1:15" x14ac:dyDescent="0.2">
      <c r="A240">
        <f>Customers_0!A240</f>
        <v>20761</v>
      </c>
      <c r="B240" t="str">
        <f>IFERROR(MID(Customers_0!B240,1,SEARCH(",",Customers_0!B240)-1),Customers_0!B240)</f>
        <v>Dr. Müller-Schwefe</v>
      </c>
      <c r="C240" t="str">
        <f t="shared" si="12"/>
        <v>Dr.</v>
      </c>
      <c r="D240" t="str">
        <f t="shared" si="13"/>
        <v/>
      </c>
      <c r="E240" t="str">
        <f t="shared" si="14"/>
        <v>Müller-Schwefe</v>
      </c>
      <c r="N240" t="str">
        <f>IF(OR(ISNUMBER(SEARCH("weg",[1]Tabelle1!C240&amp;Customers_0!D240)),
          ISNUMBER(SEARCH("gekündigt",Customers_0!C240&amp;Customers_0!D240)),
          ISNUMBER(SEARCH("rente",LOWER(Customers_0!C240&amp;Customers_0!D240)))),
   "INACTIVE",
   "ACTIVE")</f>
        <v>ACTIVE</v>
      </c>
      <c r="O240" t="str">
        <f t="shared" si="15"/>
        <v>PRÜFEN</v>
      </c>
    </row>
    <row r="241" spans="1:15" x14ac:dyDescent="0.2">
      <c r="A241">
        <f>Customers_0!A241</f>
        <v>20763</v>
      </c>
      <c r="B241" t="str">
        <f>IFERROR(MID(Customers_0!B241,1,SEARCH(",",Customers_0!B241)-1),Customers_0!B241)</f>
        <v>Dr. Löwe</v>
      </c>
      <c r="C241" t="str">
        <f t="shared" si="12"/>
        <v>Dr.</v>
      </c>
      <c r="D241" t="str">
        <f t="shared" si="13"/>
        <v/>
      </c>
      <c r="E241" t="str">
        <f t="shared" si="14"/>
        <v>Löwe</v>
      </c>
      <c r="N241" t="str">
        <f>IF(OR(ISNUMBER(SEARCH("weg",[1]Tabelle1!C241&amp;Customers_0!D241)),
          ISNUMBER(SEARCH("gekündigt",Customers_0!C241&amp;Customers_0!D241)),
          ISNUMBER(SEARCH("rente",LOWER(Customers_0!C241&amp;Customers_0!D241)))),
   "INACTIVE",
   "ACTIVE")</f>
        <v>INACTIVE</v>
      </c>
      <c r="O241" t="str">
        <f t="shared" si="15"/>
        <v>OK</v>
      </c>
    </row>
    <row r="242" spans="1:15" x14ac:dyDescent="0.2">
      <c r="A242">
        <f>Customers_0!A242</f>
        <v>20764</v>
      </c>
      <c r="B242" t="str">
        <f>IFERROR(MID(Customers_0!B242,1,SEARCH(",",Customers_0!B242)-1),Customers_0!B242)</f>
        <v>Dr. Bischoff</v>
      </c>
      <c r="C242" t="str">
        <f t="shared" si="12"/>
        <v>Dr.</v>
      </c>
      <c r="D242" t="str">
        <f t="shared" si="13"/>
        <v/>
      </c>
      <c r="E242" t="str">
        <f t="shared" si="14"/>
        <v>Bischoff</v>
      </c>
      <c r="N242" t="str">
        <f>IF(OR(ISNUMBER(SEARCH("weg",[1]Tabelle1!C242&amp;Customers_0!D242)),
          ISNUMBER(SEARCH("gekündigt",Customers_0!C242&amp;Customers_0!D242)),
          ISNUMBER(SEARCH("rente",LOWER(Customers_0!C242&amp;Customers_0!D242)))),
   "INACTIVE",
   "ACTIVE")</f>
        <v>ACTIVE</v>
      </c>
      <c r="O242" t="str">
        <f t="shared" si="15"/>
        <v>OK</v>
      </c>
    </row>
    <row r="243" spans="1:15" x14ac:dyDescent="0.2">
      <c r="A243">
        <f>Customers_0!A243</f>
        <v>20765</v>
      </c>
      <c r="B243" t="str">
        <f>IFERROR(MID(Customers_0!B243,1,SEARCH(",",Customers_0!B243)-1),Customers_0!B243)</f>
        <v>Dr. Tardel</v>
      </c>
      <c r="C243" t="str">
        <f t="shared" si="12"/>
        <v>Dr.</v>
      </c>
      <c r="D243" t="str">
        <f t="shared" si="13"/>
        <v/>
      </c>
      <c r="E243" t="str">
        <f t="shared" si="14"/>
        <v>Tardel</v>
      </c>
      <c r="N243" t="str">
        <f>IF(OR(ISNUMBER(SEARCH("weg",[1]Tabelle1!C243&amp;Customers_0!D243)),
          ISNUMBER(SEARCH("gekündigt",Customers_0!C243&amp;Customers_0!D243)),
          ISNUMBER(SEARCH("rente",LOWER(Customers_0!C243&amp;Customers_0!D243)))),
   "INACTIVE",
   "ACTIVE")</f>
        <v>INACTIVE</v>
      </c>
      <c r="O243" t="str">
        <f t="shared" si="15"/>
        <v>OK</v>
      </c>
    </row>
    <row r="244" spans="1:15" x14ac:dyDescent="0.2">
      <c r="A244">
        <f>Customers_0!A244</f>
        <v>20770</v>
      </c>
      <c r="B244" t="str">
        <f>IFERROR(MID(Customers_0!B244,1,SEARCH(",",Customers_0!B244)-1),Customers_0!B244)</f>
        <v>Labouvie</v>
      </c>
      <c r="C244" t="str">
        <f t="shared" si="12"/>
        <v/>
      </c>
      <c r="D244" t="str">
        <f t="shared" si="13"/>
        <v/>
      </c>
      <c r="E244" t="str">
        <f t="shared" si="14"/>
        <v>Labouvie</v>
      </c>
      <c r="N244" t="str">
        <f>IF(OR(ISNUMBER(SEARCH("weg",[1]Tabelle1!C244&amp;Customers_0!D244)),
          ISNUMBER(SEARCH("gekündigt",Customers_0!C244&amp;Customers_0!D244)),
          ISNUMBER(SEARCH("rente",LOWER(Customers_0!C244&amp;Customers_0!D244)))),
   "INACTIVE",
   "ACTIVE")</f>
        <v>ACTIVE</v>
      </c>
      <c r="O244" t="str">
        <f t="shared" si="15"/>
        <v>OK</v>
      </c>
    </row>
    <row r="245" spans="1:15" x14ac:dyDescent="0.2">
      <c r="A245">
        <f>Customers_0!A245</f>
        <v>20771</v>
      </c>
      <c r="B245" t="str">
        <f>IFERROR(MID(Customers_0!B245,1,SEARCH(",",Customers_0!B245)-1),Customers_0!B245)</f>
        <v>Urol.Praxis Dr. Peter</v>
      </c>
      <c r="C245" t="str">
        <f t="shared" si="12"/>
        <v/>
      </c>
      <c r="D245" t="str">
        <f t="shared" si="13"/>
        <v/>
      </c>
      <c r="E245" t="str">
        <f t="shared" si="14"/>
        <v>Urol.Praxis Dr. Peter</v>
      </c>
      <c r="N245" t="str">
        <f>IF(OR(ISNUMBER(SEARCH("weg",[1]Tabelle1!C245&amp;Customers_0!D245)),
          ISNUMBER(SEARCH("gekündigt",Customers_0!C245&amp;Customers_0!D245)),
          ISNUMBER(SEARCH("rente",LOWER(Customers_0!C245&amp;Customers_0!D245)))),
   "INACTIVE",
   "ACTIVE")</f>
        <v>ACTIVE</v>
      </c>
      <c r="O245" t="str">
        <f t="shared" si="15"/>
        <v>OK</v>
      </c>
    </row>
    <row r="246" spans="1:15" x14ac:dyDescent="0.2">
      <c r="A246">
        <f>Customers_0!A246</f>
        <v>20773</v>
      </c>
      <c r="B246" t="str">
        <f>IFERROR(MID(Customers_0!B246,1,SEARCH(",",Customers_0!B246)-1),Customers_0!B246)</f>
        <v>Dr. Stückle</v>
      </c>
      <c r="C246" t="str">
        <f t="shared" si="12"/>
        <v>Dr.</v>
      </c>
      <c r="D246" t="str">
        <f t="shared" si="13"/>
        <v/>
      </c>
      <c r="E246" t="str">
        <f t="shared" si="14"/>
        <v>Stückle</v>
      </c>
      <c r="N246" t="str">
        <f>IF(OR(ISNUMBER(SEARCH("weg",[1]Tabelle1!C246&amp;Customers_0!D246)),
          ISNUMBER(SEARCH("gekündigt",Customers_0!C246&amp;Customers_0!D246)),
          ISNUMBER(SEARCH("rente",LOWER(Customers_0!C246&amp;Customers_0!D246)))),
   "INACTIVE",
   "ACTIVE")</f>
        <v>INACTIVE</v>
      </c>
      <c r="O246" t="str">
        <f t="shared" si="15"/>
        <v>OK</v>
      </c>
    </row>
    <row r="247" spans="1:15" x14ac:dyDescent="0.2">
      <c r="A247">
        <f>Customers_0!A247</f>
        <v>20774</v>
      </c>
      <c r="B247" t="str">
        <f>IFERROR(MID(Customers_0!B247,1,SEARCH(",",Customers_0!B247)-1),Customers_0!B247)</f>
        <v>Dr. Heinemann</v>
      </c>
      <c r="C247" t="str">
        <f t="shared" si="12"/>
        <v>Dr.</v>
      </c>
      <c r="D247" t="str">
        <f t="shared" si="13"/>
        <v/>
      </c>
      <c r="E247" t="str">
        <f t="shared" si="14"/>
        <v>Heinemann</v>
      </c>
      <c r="N247" t="str">
        <f>IF(OR(ISNUMBER(SEARCH("weg",[1]Tabelle1!C247&amp;Customers_0!D247)),
          ISNUMBER(SEARCH("gekündigt",Customers_0!C247&amp;Customers_0!D247)),
          ISNUMBER(SEARCH("rente",LOWER(Customers_0!C247&amp;Customers_0!D247)))),
   "INACTIVE",
   "ACTIVE")</f>
        <v>ACTIVE</v>
      </c>
      <c r="O247" t="str">
        <f t="shared" si="15"/>
        <v>OK</v>
      </c>
    </row>
    <row r="248" spans="1:15" x14ac:dyDescent="0.2">
      <c r="A248">
        <f>Customers_0!A248</f>
        <v>20775</v>
      </c>
      <c r="B248" t="str">
        <f>IFERROR(MID(Customers_0!B248,1,SEARCH(",",Customers_0!B248)-1),Customers_0!B248)</f>
        <v>Dr. Zwisler</v>
      </c>
      <c r="C248" t="str">
        <f t="shared" si="12"/>
        <v>Dr.</v>
      </c>
      <c r="D248" t="str">
        <f t="shared" si="13"/>
        <v/>
      </c>
      <c r="E248" t="str">
        <f t="shared" si="14"/>
        <v>Zwisler</v>
      </c>
      <c r="N248" t="str">
        <f>IF(OR(ISNUMBER(SEARCH("weg",[1]Tabelle1!C248&amp;Customers_0!D248)),
          ISNUMBER(SEARCH("gekündigt",Customers_0!C248&amp;Customers_0!D248)),
          ISNUMBER(SEARCH("rente",LOWER(Customers_0!C248&amp;Customers_0!D248)))),
   "INACTIVE",
   "ACTIVE")</f>
        <v>ACTIVE</v>
      </c>
      <c r="O248" t="str">
        <f t="shared" si="15"/>
        <v>OK</v>
      </c>
    </row>
    <row r="249" spans="1:15" x14ac:dyDescent="0.2">
      <c r="A249">
        <f>Customers_0!A249</f>
        <v>20776</v>
      </c>
      <c r="B249" t="str">
        <f>IFERROR(MID(Customers_0!B249,1,SEARCH(",",Customers_0!B249)-1),Customers_0!B249)</f>
        <v>Dr. Wohnhas</v>
      </c>
      <c r="C249" t="str">
        <f t="shared" si="12"/>
        <v>Dr.</v>
      </c>
      <c r="D249" t="str">
        <f t="shared" si="13"/>
        <v/>
      </c>
      <c r="E249" t="str">
        <f t="shared" si="14"/>
        <v>Wohnhas</v>
      </c>
      <c r="N249" t="str">
        <f>IF(OR(ISNUMBER(SEARCH("weg",[1]Tabelle1!C249&amp;Customers_0!D249)),
          ISNUMBER(SEARCH("gekündigt",Customers_0!C249&amp;Customers_0!D249)),
          ISNUMBER(SEARCH("rente",LOWER(Customers_0!C249&amp;Customers_0!D249)))),
   "INACTIVE",
   "ACTIVE")</f>
        <v>ACTIVE</v>
      </c>
      <c r="O249" t="str">
        <f t="shared" si="15"/>
        <v>OK</v>
      </c>
    </row>
    <row r="250" spans="1:15" x14ac:dyDescent="0.2">
      <c r="A250">
        <f>Customers_0!A250</f>
        <v>20777</v>
      </c>
      <c r="B250" t="str">
        <f>IFERROR(MID(Customers_0!B250,1,SEARCH(",",Customers_0!B250)-1),Customers_0!B250)</f>
        <v>Dr. Lindenberger</v>
      </c>
      <c r="C250" t="str">
        <f t="shared" si="12"/>
        <v>Dr.</v>
      </c>
      <c r="D250" t="str">
        <f t="shared" si="13"/>
        <v/>
      </c>
      <c r="E250" t="str">
        <f t="shared" si="14"/>
        <v>Lindenberger</v>
      </c>
      <c r="N250" t="str">
        <f>IF(OR(ISNUMBER(SEARCH("weg",[1]Tabelle1!C250&amp;Customers_0!D250)),
          ISNUMBER(SEARCH("gekündigt",Customers_0!C250&amp;Customers_0!D250)),
          ISNUMBER(SEARCH("rente",LOWER(Customers_0!C250&amp;Customers_0!D250)))),
   "INACTIVE",
   "ACTIVE")</f>
        <v>ACTIVE</v>
      </c>
      <c r="O250" t="str">
        <f t="shared" si="15"/>
        <v>OK</v>
      </c>
    </row>
    <row r="251" spans="1:15" x14ac:dyDescent="0.2">
      <c r="A251">
        <f>Customers_0!A251</f>
        <v>20778</v>
      </c>
      <c r="B251" t="str">
        <f>IFERROR(MID(Customers_0!B251,1,SEARCH(",",Customers_0!B251)-1),Customers_0!B251)</f>
        <v>Dres. Ullrich</v>
      </c>
      <c r="C251" t="str">
        <f t="shared" si="12"/>
        <v>Dres.</v>
      </c>
      <c r="D251" t="str">
        <f t="shared" si="13"/>
        <v/>
      </c>
      <c r="E251" t="str">
        <f t="shared" si="14"/>
        <v>Ullrich</v>
      </c>
      <c r="N251" t="str">
        <f>IF(OR(ISNUMBER(SEARCH("weg",[1]Tabelle1!C251&amp;Customers_0!D251)),
          ISNUMBER(SEARCH("gekündigt",Customers_0!C251&amp;Customers_0!D251)),
          ISNUMBER(SEARCH("rente",LOWER(Customers_0!C251&amp;Customers_0!D251)))),
   "INACTIVE",
   "ACTIVE")</f>
        <v>ACTIVE</v>
      </c>
      <c r="O251" t="str">
        <f t="shared" si="15"/>
        <v>OK</v>
      </c>
    </row>
    <row r="252" spans="1:15" x14ac:dyDescent="0.2">
      <c r="A252">
        <f>Customers_0!A252</f>
        <v>20779</v>
      </c>
      <c r="B252" t="str">
        <f>IFERROR(MID(Customers_0!B252,1,SEARCH(",",Customers_0!B252)-1),Customers_0!B252)</f>
        <v>Dr. Schiek</v>
      </c>
      <c r="C252" t="str">
        <f t="shared" si="12"/>
        <v>Dr.</v>
      </c>
      <c r="D252" t="str">
        <f t="shared" si="13"/>
        <v/>
      </c>
      <c r="E252" t="str">
        <f t="shared" si="14"/>
        <v>Schiek</v>
      </c>
      <c r="N252" t="str">
        <f>IF(OR(ISNUMBER(SEARCH("weg",[1]Tabelle1!C252&amp;Customers_0!D252)),
          ISNUMBER(SEARCH("gekündigt",Customers_0!C252&amp;Customers_0!D252)),
          ISNUMBER(SEARCH("rente",LOWER(Customers_0!C252&amp;Customers_0!D252)))),
   "INACTIVE",
   "ACTIVE")</f>
        <v>ACTIVE</v>
      </c>
      <c r="O252" t="str">
        <f t="shared" si="15"/>
        <v>OK</v>
      </c>
    </row>
    <row r="253" spans="1:15" x14ac:dyDescent="0.2">
      <c r="A253">
        <f>Customers_0!A253</f>
        <v>20780</v>
      </c>
      <c r="B253" t="str">
        <f>IFERROR(MID(Customers_0!B253,1,SEARCH(",",Customers_0!B253)-1),Customers_0!B253)</f>
        <v xml:space="preserve">Dr. Wagner </v>
      </c>
      <c r="C253" t="str">
        <f t="shared" si="12"/>
        <v>Dr.</v>
      </c>
      <c r="D253" t="str">
        <f t="shared" si="13"/>
        <v/>
      </c>
      <c r="E253" t="str">
        <f t="shared" si="14"/>
        <v>Wagner</v>
      </c>
      <c r="N253" t="str">
        <f>IF(OR(ISNUMBER(SEARCH("weg",[1]Tabelle1!C253&amp;Customers_0!D253)),
          ISNUMBER(SEARCH("gekündigt",Customers_0!C253&amp;Customers_0!D253)),
          ISNUMBER(SEARCH("rente",LOWER(Customers_0!C253&amp;Customers_0!D253)))),
   "INACTIVE",
   "ACTIVE")</f>
        <v>ACTIVE</v>
      </c>
      <c r="O253" t="str">
        <f t="shared" si="15"/>
        <v>OK</v>
      </c>
    </row>
    <row r="254" spans="1:15" x14ac:dyDescent="0.2">
      <c r="A254">
        <f>Customers_0!A254</f>
        <v>20781</v>
      </c>
      <c r="B254" t="str">
        <f>IFERROR(MID(Customers_0!B254,1,SEARCH(",",Customers_0!B254)-1),Customers_0!B254)</f>
        <v>Dr. Puf-Schott</v>
      </c>
      <c r="C254" t="str">
        <f t="shared" si="12"/>
        <v>Dr.</v>
      </c>
      <c r="D254" t="str">
        <f t="shared" si="13"/>
        <v/>
      </c>
      <c r="E254" t="str">
        <f t="shared" si="14"/>
        <v>Puf-Schott</v>
      </c>
      <c r="N254" t="str">
        <f>IF(OR(ISNUMBER(SEARCH("weg",[1]Tabelle1!C254&amp;Customers_0!D254)),
          ISNUMBER(SEARCH("gekündigt",Customers_0!C254&amp;Customers_0!D254)),
          ISNUMBER(SEARCH("rente",LOWER(Customers_0!C254&amp;Customers_0!D254)))),
   "INACTIVE",
   "ACTIVE")</f>
        <v>ACTIVE</v>
      </c>
      <c r="O254" t="str">
        <f t="shared" si="15"/>
        <v>PRÜFEN</v>
      </c>
    </row>
    <row r="255" spans="1:15" x14ac:dyDescent="0.2">
      <c r="A255">
        <f>Customers_0!A255</f>
        <v>20782</v>
      </c>
      <c r="B255" t="str">
        <f>IFERROR(MID(Customers_0!B255,1,SEARCH(",",Customers_0!B255)-1),Customers_0!B255)</f>
        <v>Dr. Ardelt</v>
      </c>
      <c r="C255" t="str">
        <f t="shared" si="12"/>
        <v>Dr.</v>
      </c>
      <c r="D255" t="str">
        <f t="shared" si="13"/>
        <v/>
      </c>
      <c r="E255" t="str">
        <f t="shared" si="14"/>
        <v>Ardelt</v>
      </c>
      <c r="N255" t="str">
        <f>IF(OR(ISNUMBER(SEARCH("weg",[1]Tabelle1!C255&amp;Customers_0!D255)),
          ISNUMBER(SEARCH("gekündigt",Customers_0!C255&amp;Customers_0!D255)),
          ISNUMBER(SEARCH("rente",LOWER(Customers_0!C255&amp;Customers_0!D255)))),
   "INACTIVE",
   "ACTIVE")</f>
        <v>ACTIVE</v>
      </c>
      <c r="O255" t="str">
        <f t="shared" si="15"/>
        <v>OK</v>
      </c>
    </row>
    <row r="256" spans="1:15" x14ac:dyDescent="0.2">
      <c r="A256">
        <f>Customers_0!A256</f>
        <v>20784</v>
      </c>
      <c r="B256" t="str">
        <f>IFERROR(MID(Customers_0!B256,1,SEARCH(",",Customers_0!B256)-1),Customers_0!B256)</f>
        <v>Dr. A. Kaiser</v>
      </c>
      <c r="C256" t="str">
        <f t="shared" si="12"/>
        <v>Dr.</v>
      </c>
      <c r="D256" t="str">
        <f t="shared" si="13"/>
        <v>A.</v>
      </c>
      <c r="E256" t="str">
        <f t="shared" si="14"/>
        <v>Kaiser</v>
      </c>
      <c r="N256" t="str">
        <f>IF(OR(ISNUMBER(SEARCH("weg",[1]Tabelle1!C256&amp;Customers_0!D256)),
          ISNUMBER(SEARCH("gekündigt",Customers_0!C256&amp;Customers_0!D256)),
          ISNUMBER(SEARCH("rente",LOWER(Customers_0!C256&amp;Customers_0!D256)))),
   "INACTIVE",
   "ACTIVE")</f>
        <v>INACTIVE</v>
      </c>
      <c r="O256" t="str">
        <f t="shared" si="15"/>
        <v>OK</v>
      </c>
    </row>
    <row r="257" spans="1:15" x14ac:dyDescent="0.2">
      <c r="A257">
        <f>Customers_0!A257</f>
        <v>20785</v>
      </c>
      <c r="B257" t="str">
        <f>IFERROR(MID(Customers_0!B257,1,SEARCH(",",Customers_0!B257)-1),Customers_0!B257)</f>
        <v>Köllhofer/ Dr.Storsberg</v>
      </c>
      <c r="C257" t="str">
        <f t="shared" si="12"/>
        <v/>
      </c>
      <c r="D257" t="str">
        <f t="shared" si="13"/>
        <v/>
      </c>
      <c r="E257" t="str">
        <f t="shared" si="14"/>
        <v>Köllhofer/ Dr.Storsberg</v>
      </c>
      <c r="N257" t="str">
        <f>IF(OR(ISNUMBER(SEARCH("weg",[1]Tabelle1!C257&amp;Customers_0!D257)),
          ISNUMBER(SEARCH("gekündigt",Customers_0!C257&amp;Customers_0!D257)),
          ISNUMBER(SEARCH("rente",LOWER(Customers_0!C257&amp;Customers_0!D257)))),
   "INACTIVE",
   "ACTIVE")</f>
        <v>ACTIVE</v>
      </c>
      <c r="O257" t="str">
        <f t="shared" si="15"/>
        <v>PRÜFEN</v>
      </c>
    </row>
    <row r="258" spans="1:15" x14ac:dyDescent="0.2">
      <c r="A258">
        <f>Customers_0!A258</f>
        <v>20790</v>
      </c>
      <c r="B258" t="str">
        <f>IFERROR(MID(Customers_0!B258,1,SEARCH(",",Customers_0!B258)-1),Customers_0!B258)</f>
        <v>Dr. Spahn</v>
      </c>
      <c r="C258" t="str">
        <f t="shared" ref="C258:C321" si="16">IFERROR(
 IF(OR(
   LEFT(B258,3)="Dr.",
   LEFT(B258,2)="Dr",
   LEFT(B258,4)="Dres",
   LEFT(B258,5)="Dres.",
   LEFT(B258,4)="Prof",
   LEFT(B258,5)="Prof.",
   LEFT(B258,3)="PD ",
   LEFT(B258,7)="Priv.-D"
 ),
  LEFT(B258,SEARCH(" ",B258)-1),
  ""
 ),
"")</f>
        <v>Dr.</v>
      </c>
      <c r="D258" t="str">
        <f t="shared" ref="D258:D321" si="17">IFERROR(
 IF(C258="",
  "",
  IF(ISNUMBER(SEARCH(".",MID(B258,LEN(C258)+2,3))),
    MID(B258,LEN(C258)+2,2),
    ""
  )
 ),
"")</f>
        <v/>
      </c>
      <c r="E258" t="str">
        <f t="shared" ref="E258:E321" si="18">IFERROR(
 TRIM(
   IF(C258="",
        IF(ISNUMBER(SEARCH(",",B258)), LEFT(B258,SEARCH(",",B258)-1), B258),
        IF(D258="",
             TRIM(MID(B258, LEN(C258)+2, 999)),
             TRIM(MID(B258, LEN(C258&amp;" "&amp;D258)+2, 999))
        )
   )
 ),
""
)</f>
        <v>Spahn</v>
      </c>
      <c r="N258" t="str">
        <f>IF(OR(ISNUMBER(SEARCH("weg",[1]Tabelle1!C258&amp;Customers_0!D258)),
          ISNUMBER(SEARCH("gekündigt",Customers_0!C258&amp;Customers_0!D258)),
          ISNUMBER(SEARCH("rente",LOWER(Customers_0!C258&amp;Customers_0!D258)))),
   "INACTIVE",
   "ACTIVE")</f>
        <v>ACTIVE</v>
      </c>
      <c r="O258" t="str">
        <f t="shared" ref="O258:O321" si="19">IF(OR(
   ISERROR(D258),
   ISERROR(E258),
   ISNUMBER(SEARCH("/",E258)),
   ISNUMBER(SEARCH("-",E258))
 ),"PRÜFEN","OK")</f>
        <v>OK</v>
      </c>
    </row>
    <row r="259" spans="1:15" x14ac:dyDescent="0.2">
      <c r="A259">
        <f>Customers_0!A259</f>
        <v>20791</v>
      </c>
      <c r="B259" t="str">
        <f>IFERROR(MID(Customers_0!B259,1,SEARCH(",",Customers_0!B259)-1),Customers_0!B259)</f>
        <v>Claudia Kupfer</v>
      </c>
      <c r="C259" t="str">
        <f t="shared" si="16"/>
        <v/>
      </c>
      <c r="D259" t="str">
        <f t="shared" si="17"/>
        <v/>
      </c>
      <c r="E259" t="str">
        <f t="shared" si="18"/>
        <v>Claudia Kupfer</v>
      </c>
      <c r="N259" t="str">
        <f>IF(OR(ISNUMBER(SEARCH("weg",[1]Tabelle1!C259&amp;Customers_0!D259)),
          ISNUMBER(SEARCH("gekündigt",Customers_0!C259&amp;Customers_0!D259)),
          ISNUMBER(SEARCH("rente",LOWER(Customers_0!C259&amp;Customers_0!D259)))),
   "INACTIVE",
   "ACTIVE")</f>
        <v>ACTIVE</v>
      </c>
      <c r="O259" t="str">
        <f t="shared" si="19"/>
        <v>OK</v>
      </c>
    </row>
    <row r="260" spans="1:15" x14ac:dyDescent="0.2">
      <c r="A260">
        <f>Customers_0!A260</f>
        <v>20792</v>
      </c>
      <c r="B260" t="str">
        <f>IFERROR(MID(Customers_0!B260,1,SEARCH(",",Customers_0!B260)-1),Customers_0!B260)</f>
        <v xml:space="preserve">Schreiber/Dippon/ </v>
      </c>
      <c r="C260" t="str">
        <f t="shared" si="16"/>
        <v/>
      </c>
      <c r="D260" t="str">
        <f t="shared" si="17"/>
        <v/>
      </c>
      <c r="E260" t="str">
        <f t="shared" si="18"/>
        <v>Schreiber/Dippon/</v>
      </c>
      <c r="N260" t="str">
        <f>IF(OR(ISNUMBER(SEARCH("weg",[1]Tabelle1!C260&amp;Customers_0!D260)),
          ISNUMBER(SEARCH("gekündigt",Customers_0!C260&amp;Customers_0!D260)),
          ISNUMBER(SEARCH("rente",LOWER(Customers_0!C260&amp;Customers_0!D260)))),
   "INACTIVE",
   "ACTIVE")</f>
        <v>ACTIVE</v>
      </c>
      <c r="O260" t="str">
        <f t="shared" si="19"/>
        <v>PRÜFEN</v>
      </c>
    </row>
    <row r="261" spans="1:15" x14ac:dyDescent="0.2">
      <c r="A261">
        <f>Customers_0!A261</f>
        <v>20800</v>
      </c>
      <c r="B261" t="str">
        <f>IFERROR(MID(Customers_0!B261,1,SEARCH(",",Customers_0!B261)-1),Customers_0!B261)</f>
        <v>Dres. Lang</v>
      </c>
      <c r="C261" t="str">
        <f t="shared" si="16"/>
        <v>Dres.</v>
      </c>
      <c r="D261" t="str">
        <f t="shared" si="17"/>
        <v/>
      </c>
      <c r="E261" t="str">
        <f t="shared" si="18"/>
        <v>Lang</v>
      </c>
      <c r="N261" t="str">
        <f>IF(OR(ISNUMBER(SEARCH("weg",[1]Tabelle1!C261&amp;Customers_0!D261)),
          ISNUMBER(SEARCH("gekündigt",Customers_0!C261&amp;Customers_0!D261)),
          ISNUMBER(SEARCH("rente",LOWER(Customers_0!C261&amp;Customers_0!D261)))),
   "INACTIVE",
   "ACTIVE")</f>
        <v>ACTIVE</v>
      </c>
      <c r="O261" t="str">
        <f t="shared" si="19"/>
        <v>OK</v>
      </c>
    </row>
    <row r="262" spans="1:15" x14ac:dyDescent="0.2">
      <c r="A262">
        <f>Customers_0!A262</f>
        <v>20802</v>
      </c>
      <c r="B262" t="str">
        <f>IFERROR(MID(Customers_0!B262,1,SEARCH(",",Customers_0!B262)-1),Customers_0!B262)</f>
        <v>Fam.Praxis Merkel</v>
      </c>
      <c r="C262" t="str">
        <f t="shared" si="16"/>
        <v/>
      </c>
      <c r="D262" t="str">
        <f t="shared" si="17"/>
        <v/>
      </c>
      <c r="E262" t="str">
        <f t="shared" si="18"/>
        <v>Fam.Praxis Merkel</v>
      </c>
      <c r="N262" t="str">
        <f>IF(OR(ISNUMBER(SEARCH("weg",[1]Tabelle1!C262&amp;Customers_0!D262)),
          ISNUMBER(SEARCH("gekündigt",Customers_0!C262&amp;Customers_0!D262)),
          ISNUMBER(SEARCH("rente",LOWER(Customers_0!C262&amp;Customers_0!D262)))),
   "INACTIVE",
   "ACTIVE")</f>
        <v>ACTIVE</v>
      </c>
      <c r="O262" t="str">
        <f t="shared" si="19"/>
        <v>OK</v>
      </c>
    </row>
    <row r="263" spans="1:15" x14ac:dyDescent="0.2">
      <c r="A263">
        <f>Customers_0!A263</f>
        <v>20803</v>
      </c>
      <c r="B263" t="str">
        <f>IFERROR(MID(Customers_0!B263,1,SEARCH(",",Customers_0!B263)-1),Customers_0!B263)</f>
        <v>Dr. Bühl</v>
      </c>
      <c r="C263" t="str">
        <f t="shared" si="16"/>
        <v>Dr.</v>
      </c>
      <c r="D263" t="str">
        <f t="shared" si="17"/>
        <v/>
      </c>
      <c r="E263" t="str">
        <f t="shared" si="18"/>
        <v>Bühl</v>
      </c>
      <c r="N263" t="str">
        <f>IF(OR(ISNUMBER(SEARCH("weg",[1]Tabelle1!C263&amp;Customers_0!D263)),
          ISNUMBER(SEARCH("gekündigt",Customers_0!C263&amp;Customers_0!D263)),
          ISNUMBER(SEARCH("rente",LOWER(Customers_0!C263&amp;Customers_0!D263)))),
   "INACTIVE",
   "ACTIVE")</f>
        <v>ACTIVE</v>
      </c>
      <c r="O263" t="str">
        <f t="shared" si="19"/>
        <v>OK</v>
      </c>
    </row>
    <row r="264" spans="1:15" x14ac:dyDescent="0.2">
      <c r="A264">
        <f>Customers_0!A264</f>
        <v>20804</v>
      </c>
      <c r="B264" t="str">
        <f>IFERROR(MID(Customers_0!B264,1,SEARCH(",",Customers_0!B264)-1),Customers_0!B264)</f>
        <v>Dres. Kriel/ Ruland</v>
      </c>
      <c r="C264" t="str">
        <f t="shared" si="16"/>
        <v>Dres.</v>
      </c>
      <c r="D264" t="str">
        <f t="shared" si="17"/>
        <v/>
      </c>
      <c r="E264" t="str">
        <f t="shared" si="18"/>
        <v>Kriel/ Ruland</v>
      </c>
      <c r="N264" t="str">
        <f>IF(OR(ISNUMBER(SEARCH("weg",[1]Tabelle1!C264&amp;Customers_0!D264)),
          ISNUMBER(SEARCH("gekündigt",Customers_0!C264&amp;Customers_0!D264)),
          ISNUMBER(SEARCH("rente",LOWER(Customers_0!C264&amp;Customers_0!D264)))),
   "INACTIVE",
   "ACTIVE")</f>
        <v>INACTIVE</v>
      </c>
      <c r="O264" t="str">
        <f t="shared" si="19"/>
        <v>PRÜFEN</v>
      </c>
    </row>
    <row r="265" spans="1:15" x14ac:dyDescent="0.2">
      <c r="A265">
        <f>Customers_0!A265</f>
        <v>20805</v>
      </c>
      <c r="B265" t="str">
        <f>IFERROR(MID(Customers_0!B265,1,SEARCH(",",Customers_0!B265)-1),Customers_0!B265)</f>
        <v>Dr. Kern-Benz</v>
      </c>
      <c r="C265" t="str">
        <f t="shared" si="16"/>
        <v>Dr.</v>
      </c>
      <c r="D265" t="str">
        <f t="shared" si="17"/>
        <v/>
      </c>
      <c r="E265" t="str">
        <f t="shared" si="18"/>
        <v>Kern-Benz</v>
      </c>
      <c r="N265" t="str">
        <f>IF(OR(ISNUMBER(SEARCH("weg",[1]Tabelle1!C265&amp;Customers_0!D265)),
          ISNUMBER(SEARCH("gekündigt",Customers_0!C265&amp;Customers_0!D265)),
          ISNUMBER(SEARCH("rente",LOWER(Customers_0!C265&amp;Customers_0!D265)))),
   "INACTIVE",
   "ACTIVE")</f>
        <v>ACTIVE</v>
      </c>
      <c r="O265" t="str">
        <f t="shared" si="19"/>
        <v>PRÜFEN</v>
      </c>
    </row>
    <row r="266" spans="1:15" x14ac:dyDescent="0.2">
      <c r="A266">
        <f>Customers_0!A266</f>
        <v>20808</v>
      </c>
      <c r="B266" t="str">
        <f>IFERROR(MID(Customers_0!B266,1,SEARCH(",",Customers_0!B266)-1),Customers_0!B266)</f>
        <v>Dr. Schätzle</v>
      </c>
      <c r="C266" t="str">
        <f t="shared" si="16"/>
        <v>Dr.</v>
      </c>
      <c r="D266" t="str">
        <f t="shared" si="17"/>
        <v/>
      </c>
      <c r="E266" t="str">
        <f t="shared" si="18"/>
        <v>Schätzle</v>
      </c>
      <c r="N266" t="str">
        <f>IF(OR(ISNUMBER(SEARCH("weg",[1]Tabelle1!C266&amp;Customers_0!D266)),
          ISNUMBER(SEARCH("gekündigt",Customers_0!C266&amp;Customers_0!D266)),
          ISNUMBER(SEARCH("rente",LOWER(Customers_0!C266&amp;Customers_0!D266)))),
   "INACTIVE",
   "ACTIVE")</f>
        <v>ACTIVE</v>
      </c>
      <c r="O266" t="str">
        <f t="shared" si="19"/>
        <v>OK</v>
      </c>
    </row>
    <row r="267" spans="1:15" x14ac:dyDescent="0.2">
      <c r="A267">
        <f>Customers_0!A267</f>
        <v>20809</v>
      </c>
      <c r="B267" t="str">
        <f>IFERROR(MID(Customers_0!B267,1,SEARCH(",",Customers_0!B267)-1),Customers_0!B267)</f>
        <v>Krechlak/Kunze/Dr.Traeger</v>
      </c>
      <c r="C267" t="str">
        <f t="shared" si="16"/>
        <v/>
      </c>
      <c r="D267" t="str">
        <f t="shared" si="17"/>
        <v/>
      </c>
      <c r="E267" t="str">
        <f t="shared" si="18"/>
        <v>Krechlak/Kunze/Dr.Traeger</v>
      </c>
      <c r="N267" t="str">
        <f>IF(OR(ISNUMBER(SEARCH("weg",[1]Tabelle1!C267&amp;Customers_0!D267)),
          ISNUMBER(SEARCH("gekündigt",Customers_0!C267&amp;Customers_0!D267)),
          ISNUMBER(SEARCH("rente",LOWER(Customers_0!C267&amp;Customers_0!D267)))),
   "INACTIVE",
   "ACTIVE")</f>
        <v>ACTIVE</v>
      </c>
      <c r="O267" t="str">
        <f t="shared" si="19"/>
        <v>PRÜFEN</v>
      </c>
    </row>
    <row r="268" spans="1:15" x14ac:dyDescent="0.2">
      <c r="A268">
        <f>Customers_0!A268</f>
        <v>20810</v>
      </c>
      <c r="B268" t="str">
        <f>IFERROR(MID(Customers_0!B268,1,SEARCH(",",Customers_0!B268)-1),Customers_0!B268)</f>
        <v>Dr.Buderer</v>
      </c>
      <c r="C268" t="str">
        <f t="shared" si="16"/>
        <v/>
      </c>
      <c r="D268" t="str">
        <f t="shared" si="17"/>
        <v/>
      </c>
      <c r="E268" t="str">
        <f t="shared" si="18"/>
        <v>Dr.Buderer</v>
      </c>
      <c r="N268" t="str">
        <f>IF(OR(ISNUMBER(SEARCH("weg",[1]Tabelle1!C268&amp;Customers_0!D268)),
          ISNUMBER(SEARCH("gekündigt",Customers_0!C268&amp;Customers_0!D268)),
          ISNUMBER(SEARCH("rente",LOWER(Customers_0!C268&amp;Customers_0!D268)))),
   "INACTIVE",
   "ACTIVE")</f>
        <v>ACTIVE</v>
      </c>
      <c r="O268" t="str">
        <f t="shared" si="19"/>
        <v>OK</v>
      </c>
    </row>
    <row r="269" spans="1:15" x14ac:dyDescent="0.2">
      <c r="A269">
        <f>Customers_0!A269</f>
        <v>20811</v>
      </c>
      <c r="B269" t="str">
        <f>IFERROR(MID(Customers_0!B269,1,SEARCH(",",Customers_0!B269)-1),Customers_0!B269)</f>
        <v>Dr. Gleich</v>
      </c>
      <c r="C269" t="str">
        <f t="shared" si="16"/>
        <v>Dr.</v>
      </c>
      <c r="D269" t="str">
        <f t="shared" si="17"/>
        <v/>
      </c>
      <c r="E269" t="str">
        <f t="shared" si="18"/>
        <v>Gleich</v>
      </c>
      <c r="N269" t="str">
        <f>IF(OR(ISNUMBER(SEARCH("weg",[1]Tabelle1!C269&amp;Customers_0!D269)),
          ISNUMBER(SEARCH("gekündigt",Customers_0!C269&amp;Customers_0!D269)),
          ISNUMBER(SEARCH("rente",LOWER(Customers_0!C269&amp;Customers_0!D269)))),
   "INACTIVE",
   "ACTIVE")</f>
        <v>ACTIVE</v>
      </c>
      <c r="O269" t="str">
        <f t="shared" si="19"/>
        <v>OK</v>
      </c>
    </row>
    <row r="270" spans="1:15" x14ac:dyDescent="0.2">
      <c r="A270">
        <f>Customers_0!A270</f>
        <v>20812</v>
      </c>
      <c r="B270" t="str">
        <f>IFERROR(MID(Customers_0!B270,1,SEARCH(",",Customers_0!B270)-1),Customers_0!B270)</f>
        <v>Dres. Dipper</v>
      </c>
      <c r="C270" t="str">
        <f t="shared" si="16"/>
        <v>Dres.</v>
      </c>
      <c r="D270" t="str">
        <f t="shared" si="17"/>
        <v/>
      </c>
      <c r="E270" t="str">
        <f t="shared" si="18"/>
        <v>Dipper</v>
      </c>
      <c r="N270" t="str">
        <f>IF(OR(ISNUMBER(SEARCH("weg",[1]Tabelle1!C270&amp;Customers_0!D270)),
          ISNUMBER(SEARCH("gekündigt",Customers_0!C270&amp;Customers_0!D270)),
          ISNUMBER(SEARCH("rente",LOWER(Customers_0!C270&amp;Customers_0!D270)))),
   "INACTIVE",
   "ACTIVE")</f>
        <v>ACTIVE</v>
      </c>
      <c r="O270" t="str">
        <f t="shared" si="19"/>
        <v>OK</v>
      </c>
    </row>
    <row r="271" spans="1:15" x14ac:dyDescent="0.2">
      <c r="A271">
        <f>Customers_0!A271</f>
        <v>20813</v>
      </c>
      <c r="B271" t="str">
        <f>IFERROR(MID(Customers_0!B271,1,SEARCH(",",Customers_0!B271)-1),Customers_0!B271)</f>
        <v>Dres. Heß/Stadge</v>
      </c>
      <c r="C271" t="str">
        <f t="shared" si="16"/>
        <v>Dres.</v>
      </c>
      <c r="D271" t="str">
        <f t="shared" si="17"/>
        <v/>
      </c>
      <c r="E271" t="str">
        <f t="shared" si="18"/>
        <v>Heß/Stadge</v>
      </c>
      <c r="N271" t="str">
        <f>IF(OR(ISNUMBER(SEARCH("weg",[1]Tabelle1!C271&amp;Customers_0!D271)),
          ISNUMBER(SEARCH("gekündigt",Customers_0!C271&amp;Customers_0!D271)),
          ISNUMBER(SEARCH("rente",LOWER(Customers_0!C271&amp;Customers_0!D271)))),
   "INACTIVE",
   "ACTIVE")</f>
        <v>ACTIVE</v>
      </c>
      <c r="O271" t="str">
        <f t="shared" si="19"/>
        <v>PRÜFEN</v>
      </c>
    </row>
    <row r="272" spans="1:15" x14ac:dyDescent="0.2">
      <c r="A272">
        <f>Customers_0!A272</f>
        <v>20815</v>
      </c>
      <c r="B272" t="str">
        <f>IFERROR(MID(Customers_0!B272,1,SEARCH(",",Customers_0!B272)-1),Customers_0!B272)</f>
        <v>Dres. Vetter</v>
      </c>
      <c r="C272" t="str">
        <f t="shared" si="16"/>
        <v>Dres.</v>
      </c>
      <c r="D272" t="str">
        <f t="shared" si="17"/>
        <v/>
      </c>
      <c r="E272" t="str">
        <f t="shared" si="18"/>
        <v>Vetter</v>
      </c>
      <c r="N272" t="str">
        <f>IF(OR(ISNUMBER(SEARCH("weg",[1]Tabelle1!C272&amp;Customers_0!D272)),
          ISNUMBER(SEARCH("gekündigt",Customers_0!C272&amp;Customers_0!D272)),
          ISNUMBER(SEARCH("rente",LOWER(Customers_0!C272&amp;Customers_0!D272)))),
   "INACTIVE",
   "ACTIVE")</f>
        <v>INACTIVE</v>
      </c>
      <c r="O272" t="str">
        <f t="shared" si="19"/>
        <v>OK</v>
      </c>
    </row>
    <row r="273" spans="1:15" x14ac:dyDescent="0.2">
      <c r="A273">
        <f>Customers_0!A273</f>
        <v>20816</v>
      </c>
      <c r="B273" t="str">
        <f>IFERROR(MID(Customers_0!B273,1,SEARCH(",",Customers_0!B273)-1),Customers_0!B273)</f>
        <v>Dr. Kochendoerfer</v>
      </c>
      <c r="C273" t="str">
        <f t="shared" si="16"/>
        <v>Dr.</v>
      </c>
      <c r="D273" t="str">
        <f t="shared" si="17"/>
        <v/>
      </c>
      <c r="E273" t="str">
        <f t="shared" si="18"/>
        <v>Kochendoerfer</v>
      </c>
      <c r="N273" t="str">
        <f>IF(OR(ISNUMBER(SEARCH("weg",[1]Tabelle1!C273&amp;Customers_0!D273)),
          ISNUMBER(SEARCH("gekündigt",Customers_0!C273&amp;Customers_0!D273)),
          ISNUMBER(SEARCH("rente",LOWER(Customers_0!C273&amp;Customers_0!D273)))),
   "INACTIVE",
   "ACTIVE")</f>
        <v>ACTIVE</v>
      </c>
      <c r="O273" t="str">
        <f t="shared" si="19"/>
        <v>OK</v>
      </c>
    </row>
    <row r="274" spans="1:15" x14ac:dyDescent="0.2">
      <c r="A274">
        <f>Customers_0!A274</f>
        <v>20819</v>
      </c>
      <c r="B274" t="str">
        <f>IFERROR(MID(Customers_0!B274,1,SEARCH(",",Customers_0!B274)-1),Customers_0!B274)</f>
        <v>Dr. Haag</v>
      </c>
      <c r="C274" t="str">
        <f t="shared" si="16"/>
        <v>Dr.</v>
      </c>
      <c r="D274" t="str">
        <f t="shared" si="17"/>
        <v/>
      </c>
      <c r="E274" t="str">
        <f t="shared" si="18"/>
        <v>Haag</v>
      </c>
      <c r="N274" t="str">
        <f>IF(OR(ISNUMBER(SEARCH("weg",[1]Tabelle1!C274&amp;Customers_0!D274)),
          ISNUMBER(SEARCH("gekündigt",Customers_0!C274&amp;Customers_0!D274)),
          ISNUMBER(SEARCH("rente",LOWER(Customers_0!C274&amp;Customers_0!D274)))),
   "INACTIVE",
   "ACTIVE")</f>
        <v>ACTIVE</v>
      </c>
      <c r="O274" t="str">
        <f t="shared" si="19"/>
        <v>OK</v>
      </c>
    </row>
    <row r="275" spans="1:15" x14ac:dyDescent="0.2">
      <c r="A275">
        <f>Customers_0!A275</f>
        <v>20821</v>
      </c>
      <c r="B275" t="str">
        <f>IFERROR(MID(Customers_0!B275,1,SEARCH(",",Customers_0!B275)-1),Customers_0!B275)</f>
        <v>Dr. Heib</v>
      </c>
      <c r="C275" t="str">
        <f t="shared" si="16"/>
        <v>Dr.</v>
      </c>
      <c r="D275" t="str">
        <f t="shared" si="17"/>
        <v/>
      </c>
      <c r="E275" t="str">
        <f t="shared" si="18"/>
        <v>Heib</v>
      </c>
      <c r="N275" t="str">
        <f>IF(OR(ISNUMBER(SEARCH("weg",[1]Tabelle1!C275&amp;Customers_0!D275)),
          ISNUMBER(SEARCH("gekündigt",Customers_0!C275&amp;Customers_0!D275)),
          ISNUMBER(SEARCH("rente",LOWER(Customers_0!C275&amp;Customers_0!D275)))),
   "INACTIVE",
   "ACTIVE")</f>
        <v>ACTIVE</v>
      </c>
      <c r="O275" t="str">
        <f t="shared" si="19"/>
        <v>OK</v>
      </c>
    </row>
    <row r="276" spans="1:15" x14ac:dyDescent="0.2">
      <c r="A276">
        <f>Customers_0!A276</f>
        <v>20822</v>
      </c>
      <c r="B276" t="str">
        <f>IFERROR(MID(Customers_0!B276,1,SEARCH(",",Customers_0!B276)-1),Customers_0!B276)</f>
        <v>Dr. Weinmann</v>
      </c>
      <c r="C276" t="str">
        <f t="shared" si="16"/>
        <v>Dr.</v>
      </c>
      <c r="D276" t="str">
        <f t="shared" si="17"/>
        <v/>
      </c>
      <c r="E276" t="str">
        <f t="shared" si="18"/>
        <v>Weinmann</v>
      </c>
      <c r="N276" t="str">
        <f>IF(OR(ISNUMBER(SEARCH("weg",[1]Tabelle1!C276&amp;Customers_0!D276)),
          ISNUMBER(SEARCH("gekündigt",Customers_0!C276&amp;Customers_0!D276)),
          ISNUMBER(SEARCH("rente",LOWER(Customers_0!C276&amp;Customers_0!D276)))),
   "INACTIVE",
   "ACTIVE")</f>
        <v>ACTIVE</v>
      </c>
      <c r="O276" t="str">
        <f t="shared" si="19"/>
        <v>OK</v>
      </c>
    </row>
    <row r="277" spans="1:15" x14ac:dyDescent="0.2">
      <c r="A277">
        <f>Customers_0!A277</f>
        <v>20823</v>
      </c>
      <c r="B277" t="str">
        <f>IFERROR(MID(Customers_0!B277,1,SEARCH(",",Customers_0!B277)-1),Customers_0!B277)</f>
        <v>Gubisch/ Niklasch-Gubisch</v>
      </c>
      <c r="C277" t="str">
        <f t="shared" si="16"/>
        <v/>
      </c>
      <c r="D277" t="str">
        <f t="shared" si="17"/>
        <v/>
      </c>
      <c r="E277" t="str">
        <f t="shared" si="18"/>
        <v>Gubisch/ Niklasch-Gubisch</v>
      </c>
      <c r="N277" t="str">
        <f>IF(OR(ISNUMBER(SEARCH("weg",[1]Tabelle1!C277&amp;Customers_0!D277)),
          ISNUMBER(SEARCH("gekündigt",Customers_0!C277&amp;Customers_0!D277)),
          ISNUMBER(SEARCH("rente",LOWER(Customers_0!C277&amp;Customers_0!D277)))),
   "INACTIVE",
   "ACTIVE")</f>
        <v>INACTIVE</v>
      </c>
      <c r="O277" t="str">
        <f t="shared" si="19"/>
        <v>PRÜFEN</v>
      </c>
    </row>
    <row r="278" spans="1:15" x14ac:dyDescent="0.2">
      <c r="A278">
        <f>Customers_0!A278</f>
        <v>20825</v>
      </c>
      <c r="B278" t="str">
        <f>IFERROR(MID(Customers_0!B278,1,SEARCH(",",Customers_0!B278)-1),Customers_0!B278)</f>
        <v>Dr. Koenen</v>
      </c>
      <c r="C278" t="str">
        <f t="shared" si="16"/>
        <v>Dr.</v>
      </c>
      <c r="D278" t="str">
        <f t="shared" si="17"/>
        <v/>
      </c>
      <c r="E278" t="str">
        <f t="shared" si="18"/>
        <v>Koenen</v>
      </c>
      <c r="N278" t="str">
        <f>IF(OR(ISNUMBER(SEARCH("weg",[1]Tabelle1!C278&amp;Customers_0!D278)),
          ISNUMBER(SEARCH("gekündigt",Customers_0!C278&amp;Customers_0!D278)),
          ISNUMBER(SEARCH("rente",LOWER(Customers_0!C278&amp;Customers_0!D278)))),
   "INACTIVE",
   "ACTIVE")</f>
        <v>ACTIVE</v>
      </c>
      <c r="O278" t="str">
        <f t="shared" si="19"/>
        <v>OK</v>
      </c>
    </row>
    <row r="279" spans="1:15" x14ac:dyDescent="0.2">
      <c r="A279">
        <f>Customers_0!A279</f>
        <v>20827</v>
      </c>
      <c r="B279" t="str">
        <f>IFERROR(MID(Customers_0!B279,1,SEARCH(",",Customers_0!B279)-1),Customers_0!B279)</f>
        <v>Meltem Noori</v>
      </c>
      <c r="C279" t="str">
        <f t="shared" si="16"/>
        <v/>
      </c>
      <c r="D279" t="str">
        <f t="shared" si="17"/>
        <v/>
      </c>
      <c r="E279" t="str">
        <f t="shared" si="18"/>
        <v>Meltem Noori</v>
      </c>
      <c r="N279" t="str">
        <f>IF(OR(ISNUMBER(SEARCH("weg",[1]Tabelle1!C279&amp;Customers_0!D279)),
          ISNUMBER(SEARCH("gekündigt",Customers_0!C279&amp;Customers_0!D279)),
          ISNUMBER(SEARCH("rente",LOWER(Customers_0!C279&amp;Customers_0!D279)))),
   "INACTIVE",
   "ACTIVE")</f>
        <v>ACTIVE</v>
      </c>
      <c r="O279" t="str">
        <f t="shared" si="19"/>
        <v>OK</v>
      </c>
    </row>
    <row r="280" spans="1:15" x14ac:dyDescent="0.2">
      <c r="A280">
        <f>Customers_0!A280</f>
        <v>20829</v>
      </c>
      <c r="B280" t="str">
        <f>IFERROR(MID(Customers_0!B280,1,SEARCH(",",Customers_0!B280)-1),Customers_0!B280)</f>
        <v>Dr. Schwiethal/Tolksdorf</v>
      </c>
      <c r="C280" t="str">
        <f t="shared" si="16"/>
        <v>Dr.</v>
      </c>
      <c r="D280" t="str">
        <f t="shared" si="17"/>
        <v/>
      </c>
      <c r="E280" t="str">
        <f t="shared" si="18"/>
        <v>Schwiethal/Tolksdorf</v>
      </c>
      <c r="N280" t="str">
        <f>IF(OR(ISNUMBER(SEARCH("weg",[1]Tabelle1!C280&amp;Customers_0!D280)),
          ISNUMBER(SEARCH("gekündigt",Customers_0!C280&amp;Customers_0!D280)),
          ISNUMBER(SEARCH("rente",LOWER(Customers_0!C280&amp;Customers_0!D280)))),
   "INACTIVE",
   "ACTIVE")</f>
        <v>ACTIVE</v>
      </c>
      <c r="O280" t="str">
        <f t="shared" si="19"/>
        <v>PRÜFEN</v>
      </c>
    </row>
    <row r="281" spans="1:15" x14ac:dyDescent="0.2">
      <c r="A281">
        <f>Customers_0!A281</f>
        <v>20830</v>
      </c>
      <c r="B281" t="str">
        <f>IFERROR(MID(Customers_0!B281,1,SEARCH(",",Customers_0!B281)-1),Customers_0!B281)</f>
        <v xml:space="preserve">Schlaflabor RT </v>
      </c>
      <c r="C281" t="str">
        <f t="shared" si="16"/>
        <v/>
      </c>
      <c r="D281" t="str">
        <f t="shared" si="17"/>
        <v/>
      </c>
      <c r="E281" t="str">
        <f t="shared" si="18"/>
        <v>Schlaflabor RT</v>
      </c>
      <c r="N281" t="str">
        <f>IF(OR(ISNUMBER(SEARCH("weg",[1]Tabelle1!C281&amp;Customers_0!D281)),
          ISNUMBER(SEARCH("gekündigt",Customers_0!C281&amp;Customers_0!D281)),
          ISNUMBER(SEARCH("rente",LOWER(Customers_0!C281&amp;Customers_0!D281)))),
   "INACTIVE",
   "ACTIVE")</f>
        <v>ACTIVE</v>
      </c>
      <c r="O281" t="str">
        <f t="shared" si="19"/>
        <v>OK</v>
      </c>
    </row>
    <row r="282" spans="1:15" x14ac:dyDescent="0.2">
      <c r="A282">
        <f>Customers_0!A282</f>
        <v>20832</v>
      </c>
      <c r="B282" t="str">
        <f>IFERROR(MID(Customers_0!B282,1,SEARCH(",",Customers_0!B282)-1),Customers_0!B282)</f>
        <v>Mathias Koch</v>
      </c>
      <c r="C282" t="str">
        <f t="shared" si="16"/>
        <v/>
      </c>
      <c r="D282" t="str">
        <f t="shared" si="17"/>
        <v/>
      </c>
      <c r="E282" t="str">
        <f t="shared" si="18"/>
        <v>Mathias Koch</v>
      </c>
      <c r="N282" t="str">
        <f>IF(OR(ISNUMBER(SEARCH("weg",[1]Tabelle1!C282&amp;Customers_0!D282)),
          ISNUMBER(SEARCH("gekündigt",Customers_0!C282&amp;Customers_0!D282)),
          ISNUMBER(SEARCH("rente",LOWER(Customers_0!C282&amp;Customers_0!D282)))),
   "INACTIVE",
   "ACTIVE")</f>
        <v>ACTIVE</v>
      </c>
      <c r="O282" t="str">
        <f t="shared" si="19"/>
        <v>OK</v>
      </c>
    </row>
    <row r="283" spans="1:15" x14ac:dyDescent="0.2">
      <c r="A283">
        <f>Customers_0!A283</f>
        <v>20834</v>
      </c>
      <c r="B283" t="str">
        <f>IFERROR(MID(Customers_0!B283,1,SEARCH(",",Customers_0!B283)-1),Customers_0!B283)</f>
        <v>Elke Lerch</v>
      </c>
      <c r="C283" t="str">
        <f t="shared" si="16"/>
        <v/>
      </c>
      <c r="D283" t="str">
        <f t="shared" si="17"/>
        <v/>
      </c>
      <c r="E283" t="str">
        <f t="shared" si="18"/>
        <v>Elke Lerch</v>
      </c>
      <c r="N283" t="str">
        <f>IF(OR(ISNUMBER(SEARCH("weg",[1]Tabelle1!C283&amp;Customers_0!D283)),
          ISNUMBER(SEARCH("gekündigt",Customers_0!C283&amp;Customers_0!D283)),
          ISNUMBER(SEARCH("rente",LOWER(Customers_0!C283&amp;Customers_0!D283)))),
   "INACTIVE",
   "ACTIVE")</f>
        <v>ACTIVE</v>
      </c>
      <c r="O283" t="str">
        <f t="shared" si="19"/>
        <v>OK</v>
      </c>
    </row>
    <row r="284" spans="1:15" x14ac:dyDescent="0.2">
      <c r="A284">
        <f>Customers_0!A284</f>
        <v>20835</v>
      </c>
      <c r="B284" t="str">
        <f>IFERROR(MID(Customers_0!B284,1,SEARCH(",",Customers_0!B284)-1),Customers_0!B284)</f>
        <v>B.Naumann</v>
      </c>
      <c r="C284" t="str">
        <f t="shared" si="16"/>
        <v/>
      </c>
      <c r="D284" t="str">
        <f t="shared" si="17"/>
        <v/>
      </c>
      <c r="E284" t="str">
        <f t="shared" si="18"/>
        <v>B.Naumann</v>
      </c>
      <c r="N284" t="str">
        <f>IF(OR(ISNUMBER(SEARCH("weg",[1]Tabelle1!C284&amp;Customers_0!D284)),
          ISNUMBER(SEARCH("gekündigt",Customers_0!C284&amp;Customers_0!D284)),
          ISNUMBER(SEARCH("rente",LOWER(Customers_0!C284&amp;Customers_0!D284)))),
   "INACTIVE",
   "ACTIVE")</f>
        <v>ACTIVE</v>
      </c>
      <c r="O284" t="str">
        <f t="shared" si="19"/>
        <v>OK</v>
      </c>
    </row>
    <row r="285" spans="1:15" x14ac:dyDescent="0.2">
      <c r="A285">
        <f>Customers_0!A285</f>
        <v>20838</v>
      </c>
      <c r="B285" t="str">
        <f>IFERROR(MID(Customers_0!B285,1,SEARCH(",",Customers_0!B285)-1),Customers_0!B285)</f>
        <v>Dr. Suhayda</v>
      </c>
      <c r="C285" t="str">
        <f t="shared" si="16"/>
        <v>Dr.</v>
      </c>
      <c r="D285" t="str">
        <f t="shared" si="17"/>
        <v/>
      </c>
      <c r="E285" t="str">
        <f t="shared" si="18"/>
        <v>Suhayda</v>
      </c>
      <c r="N285" t="str">
        <f>IF(OR(ISNUMBER(SEARCH("weg",[1]Tabelle1!C285&amp;Customers_0!D285)),
          ISNUMBER(SEARCH("gekündigt",Customers_0!C285&amp;Customers_0!D285)),
          ISNUMBER(SEARCH("rente",LOWER(Customers_0!C285&amp;Customers_0!D285)))),
   "INACTIVE",
   "ACTIVE")</f>
        <v>ACTIVE</v>
      </c>
      <c r="O285" t="str">
        <f t="shared" si="19"/>
        <v>OK</v>
      </c>
    </row>
    <row r="286" spans="1:15" x14ac:dyDescent="0.2">
      <c r="A286">
        <f>Customers_0!A286</f>
        <v>20839</v>
      </c>
      <c r="B286" t="str">
        <f>IFERROR(MID(Customers_0!B286,1,SEARCH(",",Customers_0!B286)-1),Customers_0!B286)</f>
        <v>Dr. Berger</v>
      </c>
      <c r="C286" t="str">
        <f t="shared" si="16"/>
        <v>Dr.</v>
      </c>
      <c r="D286" t="str">
        <f t="shared" si="17"/>
        <v/>
      </c>
      <c r="E286" t="str">
        <f t="shared" si="18"/>
        <v>Berger</v>
      </c>
      <c r="N286" t="str">
        <f>IF(OR(ISNUMBER(SEARCH("weg",[1]Tabelle1!C286&amp;Customers_0!D286)),
          ISNUMBER(SEARCH("gekündigt",Customers_0!C286&amp;Customers_0!D286)),
          ISNUMBER(SEARCH("rente",LOWER(Customers_0!C286&amp;Customers_0!D286)))),
   "INACTIVE",
   "ACTIVE")</f>
        <v>ACTIVE</v>
      </c>
      <c r="O286" t="str">
        <f t="shared" si="19"/>
        <v>OK</v>
      </c>
    </row>
    <row r="287" spans="1:15" x14ac:dyDescent="0.2">
      <c r="A287">
        <f>Customers_0!A287</f>
        <v>20841</v>
      </c>
      <c r="B287" t="str">
        <f>IFERROR(MID(Customers_0!B287,1,SEARCH(",",Customers_0!B287)-1),Customers_0!B287)</f>
        <v>Dr.F.Heim</v>
      </c>
      <c r="C287" t="str">
        <f t="shared" si="16"/>
        <v/>
      </c>
      <c r="D287" t="str">
        <f t="shared" si="17"/>
        <v/>
      </c>
      <c r="E287" t="str">
        <f t="shared" si="18"/>
        <v>Dr.F.Heim</v>
      </c>
      <c r="N287" t="str">
        <f>IF(OR(ISNUMBER(SEARCH("weg",[1]Tabelle1!C287&amp;Customers_0!D287)),
          ISNUMBER(SEARCH("gekündigt",Customers_0!C287&amp;Customers_0!D287)),
          ISNUMBER(SEARCH("rente",LOWER(Customers_0!C287&amp;Customers_0!D287)))),
   "INACTIVE",
   "ACTIVE")</f>
        <v>ACTIVE</v>
      </c>
      <c r="O287" t="str">
        <f t="shared" si="19"/>
        <v>OK</v>
      </c>
    </row>
    <row r="288" spans="1:15" x14ac:dyDescent="0.2">
      <c r="A288">
        <f>Customers_0!A288</f>
        <v>20842</v>
      </c>
      <c r="B288" t="str">
        <f>IFERROR(MID(Customers_0!B288,1,SEARCH(",",Customers_0!B288)-1),Customers_0!B288)</f>
        <v>Dr. Eccard</v>
      </c>
      <c r="C288" t="str">
        <f t="shared" si="16"/>
        <v>Dr.</v>
      </c>
      <c r="D288" t="str">
        <f t="shared" si="17"/>
        <v/>
      </c>
      <c r="E288" t="str">
        <f t="shared" si="18"/>
        <v>Eccard</v>
      </c>
      <c r="N288" t="str">
        <f>IF(OR(ISNUMBER(SEARCH("weg",[1]Tabelle1!C288&amp;Customers_0!D288)),
          ISNUMBER(SEARCH("gekündigt",Customers_0!C288&amp;Customers_0!D288)),
          ISNUMBER(SEARCH("rente",LOWER(Customers_0!C288&amp;Customers_0!D288)))),
   "INACTIVE",
   "ACTIVE")</f>
        <v>ACTIVE</v>
      </c>
      <c r="O288" t="str">
        <f t="shared" si="19"/>
        <v>OK</v>
      </c>
    </row>
    <row r="289" spans="1:15" x14ac:dyDescent="0.2">
      <c r="A289">
        <f>Customers_0!A289</f>
        <v>20843</v>
      </c>
      <c r="B289" t="str">
        <f>IFERROR(MID(Customers_0!B289,1,SEARCH(",",Customers_0!B289)-1),Customers_0!B289)</f>
        <v>Dr. Püttbach</v>
      </c>
      <c r="C289" t="str">
        <f t="shared" si="16"/>
        <v>Dr.</v>
      </c>
      <c r="D289" t="str">
        <f t="shared" si="17"/>
        <v/>
      </c>
      <c r="E289" t="str">
        <f t="shared" si="18"/>
        <v>Püttbach</v>
      </c>
      <c r="N289" t="str">
        <f>IF(OR(ISNUMBER(SEARCH("weg",[1]Tabelle1!C289&amp;Customers_0!D289)),
          ISNUMBER(SEARCH("gekündigt",Customers_0!C289&amp;Customers_0!D289)),
          ISNUMBER(SEARCH("rente",LOWER(Customers_0!C289&amp;Customers_0!D289)))),
   "INACTIVE",
   "ACTIVE")</f>
        <v>ACTIVE</v>
      </c>
      <c r="O289" t="str">
        <f t="shared" si="19"/>
        <v>OK</v>
      </c>
    </row>
    <row r="290" spans="1:15" x14ac:dyDescent="0.2">
      <c r="A290">
        <f>Customers_0!A290</f>
        <v>20844</v>
      </c>
      <c r="B290" t="str">
        <f>IFERROR(MID(Customers_0!B290,1,SEARCH(",",Customers_0!B290)-1),Customers_0!B290)</f>
        <v>Dr. Böhner</v>
      </c>
      <c r="C290" t="str">
        <f t="shared" si="16"/>
        <v>Dr.</v>
      </c>
      <c r="D290" t="str">
        <f t="shared" si="17"/>
        <v/>
      </c>
      <c r="E290" t="str">
        <f t="shared" si="18"/>
        <v>Böhner</v>
      </c>
      <c r="N290" t="str">
        <f>IF(OR(ISNUMBER(SEARCH("weg",[1]Tabelle1!C290&amp;Customers_0!D290)),
          ISNUMBER(SEARCH("gekündigt",Customers_0!C290&amp;Customers_0!D290)),
          ISNUMBER(SEARCH("rente",LOWER(Customers_0!C290&amp;Customers_0!D290)))),
   "INACTIVE",
   "ACTIVE")</f>
        <v>INACTIVE</v>
      </c>
      <c r="O290" t="str">
        <f t="shared" si="19"/>
        <v>OK</v>
      </c>
    </row>
    <row r="291" spans="1:15" x14ac:dyDescent="0.2">
      <c r="A291">
        <f>Customers_0!A291</f>
        <v>20846</v>
      </c>
      <c r="B291" t="str">
        <f>IFERROR(MID(Customers_0!B291,1,SEARCH(",",Customers_0!B291)-1),Customers_0!B291)</f>
        <v>AOK</v>
      </c>
      <c r="C291" t="str">
        <f t="shared" si="16"/>
        <v/>
      </c>
      <c r="D291" t="str">
        <f t="shared" si="17"/>
        <v/>
      </c>
      <c r="E291" t="str">
        <f t="shared" si="18"/>
        <v>AOK</v>
      </c>
      <c r="N291" t="str">
        <f>IF(OR(ISNUMBER(SEARCH("weg",[1]Tabelle1!C291&amp;Customers_0!D291)),
          ISNUMBER(SEARCH("gekündigt",Customers_0!C291&amp;Customers_0!D291)),
          ISNUMBER(SEARCH("rente",LOWER(Customers_0!C291&amp;Customers_0!D291)))),
   "INACTIVE",
   "ACTIVE")</f>
        <v>ACTIVE</v>
      </c>
      <c r="O291" t="str">
        <f t="shared" si="19"/>
        <v>OK</v>
      </c>
    </row>
    <row r="292" spans="1:15" x14ac:dyDescent="0.2">
      <c r="A292">
        <f>Customers_0!A292</f>
        <v>20848</v>
      </c>
      <c r="B292" t="str">
        <f>IFERROR(MID(Customers_0!B292,1,SEARCH(",",Customers_0!B292)-1),Customers_0!B292)</f>
        <v>Drs.Hoffmann/Brinkmann</v>
      </c>
      <c r="C292" t="str">
        <f t="shared" si="16"/>
        <v/>
      </c>
      <c r="D292" t="str">
        <f t="shared" si="17"/>
        <v/>
      </c>
      <c r="E292" t="str">
        <f t="shared" si="18"/>
        <v>Drs.Hoffmann/Brinkmann</v>
      </c>
      <c r="N292" t="str">
        <f>IF(OR(ISNUMBER(SEARCH("weg",[1]Tabelle1!C292&amp;Customers_0!D292)),
          ISNUMBER(SEARCH("gekündigt",Customers_0!C292&amp;Customers_0!D292)),
          ISNUMBER(SEARCH("rente",LOWER(Customers_0!C292&amp;Customers_0!D292)))),
   "INACTIVE",
   "ACTIVE")</f>
        <v>INACTIVE</v>
      </c>
      <c r="O292" t="str">
        <f t="shared" si="19"/>
        <v>PRÜFEN</v>
      </c>
    </row>
    <row r="293" spans="1:15" x14ac:dyDescent="0.2">
      <c r="A293">
        <f>Customers_0!A293</f>
        <v>20849</v>
      </c>
      <c r="B293" t="str">
        <f>IFERROR(MID(Customers_0!B293,1,SEARCH(",",Customers_0!B293)-1),Customers_0!B293)</f>
        <v>Dr. Nopper</v>
      </c>
      <c r="C293" t="str">
        <f t="shared" si="16"/>
        <v>Dr.</v>
      </c>
      <c r="D293" t="str">
        <f t="shared" si="17"/>
        <v/>
      </c>
      <c r="E293" t="str">
        <f t="shared" si="18"/>
        <v>Nopper</v>
      </c>
      <c r="N293" t="str">
        <f>IF(OR(ISNUMBER(SEARCH("weg",[1]Tabelle1!C293&amp;Customers_0!D293)),
          ISNUMBER(SEARCH("gekündigt",Customers_0!C293&amp;Customers_0!D293)),
          ISNUMBER(SEARCH("rente",LOWER(Customers_0!C293&amp;Customers_0!D293)))),
   "INACTIVE",
   "ACTIVE")</f>
        <v>ACTIVE</v>
      </c>
      <c r="O293" t="str">
        <f t="shared" si="19"/>
        <v>OK</v>
      </c>
    </row>
    <row r="294" spans="1:15" x14ac:dyDescent="0.2">
      <c r="A294" t="e">
        <f>Customers_0!#REF!</f>
        <v>#REF!</v>
      </c>
      <c r="B294" t="e">
        <f>IFERROR(MID(Customers_0!#REF!,1,SEARCH(",",Customers_0!#REF!)-1),Customers_0!#REF!)</f>
        <v>#REF!</v>
      </c>
      <c r="C294" t="str">
        <f t="shared" si="16"/>
        <v/>
      </c>
      <c r="D294" t="str">
        <f t="shared" si="17"/>
        <v/>
      </c>
      <c r="E294" t="str">
        <f t="shared" si="18"/>
        <v/>
      </c>
      <c r="N294" t="str">
        <f>IF(OR(ISNUMBER(SEARCH("weg",[1]Tabelle1!C294&amp;Customers_0!D294)),
          ISNUMBER(SEARCH("gekündigt",Customers_0!C294&amp;Customers_0!D294)),
          ISNUMBER(SEARCH("rente",LOWER(Customers_0!C294&amp;Customers_0!D294)))),
   "INACTIVE",
   "ACTIVE")</f>
        <v>INACTIVE</v>
      </c>
      <c r="O294" t="str">
        <f t="shared" si="19"/>
        <v>OK</v>
      </c>
    </row>
    <row r="295" spans="1:15" x14ac:dyDescent="0.2">
      <c r="A295">
        <f>Customers_0!A295</f>
        <v>20852</v>
      </c>
      <c r="B295" t="str">
        <f>IFERROR(MID(Customers_0!B295,1,SEARCH(",",Customers_0!B295)-1),Customers_0!B295)</f>
        <v>Dres. Graneis/ Schüle-Braun</v>
      </c>
      <c r="C295" t="str">
        <f t="shared" si="16"/>
        <v>Dres.</v>
      </c>
      <c r="D295" t="str">
        <f t="shared" si="17"/>
        <v/>
      </c>
      <c r="E295" t="str">
        <f t="shared" si="18"/>
        <v>Graneis/ Schüle-Braun</v>
      </c>
      <c r="N295" t="str">
        <f>IF(OR(ISNUMBER(SEARCH("weg",[1]Tabelle1!C295&amp;Customers_0!D295)),
          ISNUMBER(SEARCH("gekündigt",Customers_0!C295&amp;Customers_0!D295)),
          ISNUMBER(SEARCH("rente",LOWER(Customers_0!C295&amp;Customers_0!D295)))),
   "INACTIVE",
   "ACTIVE")</f>
        <v>ACTIVE</v>
      </c>
      <c r="O295" t="str">
        <f t="shared" si="19"/>
        <v>PRÜFEN</v>
      </c>
    </row>
    <row r="296" spans="1:15" x14ac:dyDescent="0.2">
      <c r="A296">
        <f>Customers_0!A296</f>
        <v>20853</v>
      </c>
      <c r="B296" t="str">
        <f>IFERROR(MID(Customers_0!B296,1,SEARCH(",",Customers_0!B296)-1),Customers_0!B296)</f>
        <v xml:space="preserve">Dr. Heller </v>
      </c>
      <c r="C296" t="str">
        <f t="shared" si="16"/>
        <v>Dr.</v>
      </c>
      <c r="D296" t="str">
        <f t="shared" si="17"/>
        <v/>
      </c>
      <c r="E296" t="str">
        <f t="shared" si="18"/>
        <v>Heller</v>
      </c>
      <c r="N296" t="str">
        <f>IF(OR(ISNUMBER(SEARCH("weg",[1]Tabelle1!C296&amp;Customers_0!D296)),
          ISNUMBER(SEARCH("gekündigt",Customers_0!C296&amp;Customers_0!D296)),
          ISNUMBER(SEARCH("rente",LOWER(Customers_0!C296&amp;Customers_0!D296)))),
   "INACTIVE",
   "ACTIVE")</f>
        <v>ACTIVE</v>
      </c>
      <c r="O296" t="str">
        <f t="shared" si="19"/>
        <v>OK</v>
      </c>
    </row>
    <row r="297" spans="1:15" x14ac:dyDescent="0.2">
      <c r="A297">
        <f>Customers_0!A297</f>
        <v>20854</v>
      </c>
      <c r="B297" t="str">
        <f>IFERROR(MID(Customers_0!B297,1,SEARCH(",",Customers_0!B297)-1),Customers_0!B297)</f>
        <v>Dr. Mao</v>
      </c>
      <c r="C297" t="str">
        <f t="shared" si="16"/>
        <v>Dr.</v>
      </c>
      <c r="D297" t="str">
        <f t="shared" si="17"/>
        <v/>
      </c>
      <c r="E297" t="str">
        <f t="shared" si="18"/>
        <v>Mao</v>
      </c>
      <c r="N297" t="str">
        <f>IF(OR(ISNUMBER(SEARCH("weg",[1]Tabelle1!C297&amp;Customers_0!D297)),
          ISNUMBER(SEARCH("gekündigt",Customers_0!C297&amp;Customers_0!D297)),
          ISNUMBER(SEARCH("rente",LOWER(Customers_0!C297&amp;Customers_0!D297)))),
   "INACTIVE",
   "ACTIVE")</f>
        <v>ACTIVE</v>
      </c>
      <c r="O297" t="str">
        <f t="shared" si="19"/>
        <v>OK</v>
      </c>
    </row>
    <row r="298" spans="1:15" x14ac:dyDescent="0.2">
      <c r="A298">
        <f>Customers_0!A298</f>
        <v>20855</v>
      </c>
      <c r="B298" t="str">
        <f>IFERROR(MID(Customers_0!B298,1,SEARCH(",",Customers_0!B298)-1),Customers_0!B298)</f>
        <v>Dr. Schönit</v>
      </c>
      <c r="C298" t="str">
        <f t="shared" si="16"/>
        <v>Dr.</v>
      </c>
      <c r="D298" t="str">
        <f t="shared" si="17"/>
        <v/>
      </c>
      <c r="E298" t="str">
        <f t="shared" si="18"/>
        <v>Schönit</v>
      </c>
      <c r="N298" t="str">
        <f>IF(OR(ISNUMBER(SEARCH("weg",[1]Tabelle1!C298&amp;Customers_0!D298)),
          ISNUMBER(SEARCH("gekündigt",Customers_0!C298&amp;Customers_0!D298)),
          ISNUMBER(SEARCH("rente",LOWER(Customers_0!C298&amp;Customers_0!D298)))),
   "INACTIVE",
   "ACTIVE")</f>
        <v>ACTIVE</v>
      </c>
      <c r="O298" t="str">
        <f t="shared" si="19"/>
        <v>OK</v>
      </c>
    </row>
    <row r="299" spans="1:15" x14ac:dyDescent="0.2">
      <c r="A299">
        <f>Customers_0!A299</f>
        <v>20856</v>
      </c>
      <c r="B299" t="str">
        <f>IFERROR(MID(Customers_0!B299,1,SEARCH(",",Customers_0!B299)-1),Customers_0!B299)</f>
        <v>Dr. Boeke</v>
      </c>
      <c r="C299" t="str">
        <f t="shared" si="16"/>
        <v>Dr.</v>
      </c>
      <c r="D299" t="str">
        <f t="shared" si="17"/>
        <v/>
      </c>
      <c r="E299" t="str">
        <f t="shared" si="18"/>
        <v>Boeke</v>
      </c>
      <c r="N299" t="str">
        <f>IF(OR(ISNUMBER(SEARCH("weg",[1]Tabelle1!C299&amp;Customers_0!D299)),
          ISNUMBER(SEARCH("gekündigt",Customers_0!C299&amp;Customers_0!D299)),
          ISNUMBER(SEARCH("rente",LOWER(Customers_0!C299&amp;Customers_0!D299)))),
   "INACTIVE",
   "ACTIVE")</f>
        <v>ACTIVE</v>
      </c>
      <c r="O299" t="str">
        <f t="shared" si="19"/>
        <v>OK</v>
      </c>
    </row>
    <row r="300" spans="1:15" x14ac:dyDescent="0.2">
      <c r="A300">
        <f>Customers_0!A300</f>
        <v>20857</v>
      </c>
      <c r="B300" t="str">
        <f>IFERROR(MID(Customers_0!B300,1,SEARCH(",",Customers_0!B300)-1),Customers_0!B300)</f>
        <v>Böhm-Behrendt</v>
      </c>
      <c r="C300" t="str">
        <f t="shared" si="16"/>
        <v/>
      </c>
      <c r="D300" t="str">
        <f t="shared" si="17"/>
        <v/>
      </c>
      <c r="E300" t="str">
        <f t="shared" si="18"/>
        <v>Böhm-Behrendt</v>
      </c>
      <c r="N300" t="str">
        <f>IF(OR(ISNUMBER(SEARCH("weg",[1]Tabelle1!C300&amp;Customers_0!D300)),
          ISNUMBER(SEARCH("gekündigt",Customers_0!C300&amp;Customers_0!D300)),
          ISNUMBER(SEARCH("rente",LOWER(Customers_0!C300&amp;Customers_0!D300)))),
   "INACTIVE",
   "ACTIVE")</f>
        <v>ACTIVE</v>
      </c>
      <c r="O300" t="str">
        <f t="shared" si="19"/>
        <v>PRÜFEN</v>
      </c>
    </row>
    <row r="301" spans="1:15" x14ac:dyDescent="0.2">
      <c r="A301">
        <f>Customers_0!A301</f>
        <v>20858</v>
      </c>
      <c r="B301" t="str">
        <f>IFERROR(MID(Customers_0!B301,1,SEARCH(",",Customers_0!B301)-1),Customers_0!B301)</f>
        <v>Drs. Ohlberg/ Wick</v>
      </c>
      <c r="C301" t="str">
        <f t="shared" si="16"/>
        <v>Drs.</v>
      </c>
      <c r="D301" t="str">
        <f t="shared" si="17"/>
        <v/>
      </c>
      <c r="E301" t="str">
        <f t="shared" si="18"/>
        <v>Ohlberg/ Wick</v>
      </c>
      <c r="N301" t="str">
        <f>IF(OR(ISNUMBER(SEARCH("weg",[1]Tabelle1!C301&amp;Customers_0!D301)),
          ISNUMBER(SEARCH("gekündigt",Customers_0!C301&amp;Customers_0!D301)),
          ISNUMBER(SEARCH("rente",LOWER(Customers_0!C301&amp;Customers_0!D301)))),
   "INACTIVE",
   "ACTIVE")</f>
        <v>ACTIVE</v>
      </c>
      <c r="O301" t="str">
        <f t="shared" si="19"/>
        <v>PRÜFEN</v>
      </c>
    </row>
    <row r="302" spans="1:15" x14ac:dyDescent="0.2">
      <c r="A302">
        <f>Customers_0!A302</f>
        <v>20859</v>
      </c>
      <c r="B302" t="str">
        <f>IFERROR(MID(Customers_0!B302,1,SEARCH(",",Customers_0!B302)-1),Customers_0!B302)</f>
        <v>R. Majorana</v>
      </c>
      <c r="C302" t="str">
        <f t="shared" si="16"/>
        <v/>
      </c>
      <c r="D302" t="str">
        <f t="shared" si="17"/>
        <v/>
      </c>
      <c r="E302" t="str">
        <f t="shared" si="18"/>
        <v>R. Majorana</v>
      </c>
      <c r="N302" t="str">
        <f>IF(OR(ISNUMBER(SEARCH("weg",[1]Tabelle1!C302&amp;Customers_0!D302)),
          ISNUMBER(SEARCH("gekündigt",Customers_0!C302&amp;Customers_0!D302)),
          ISNUMBER(SEARCH("rente",LOWER(Customers_0!C302&amp;Customers_0!D302)))),
   "INACTIVE",
   "ACTIVE")</f>
        <v>ACTIVE</v>
      </c>
      <c r="O302" t="str">
        <f t="shared" si="19"/>
        <v>OK</v>
      </c>
    </row>
    <row r="303" spans="1:15" x14ac:dyDescent="0.2">
      <c r="A303">
        <f>Customers_0!A303</f>
        <v>20860</v>
      </c>
      <c r="B303" t="str">
        <f>IFERROR(MID(Customers_0!B303,1,SEARCH(",",Customers_0!B303)-1),Customers_0!B303)</f>
        <v>Dr. Liebetanz</v>
      </c>
      <c r="C303" t="str">
        <f t="shared" si="16"/>
        <v>Dr.</v>
      </c>
      <c r="D303" t="str">
        <f t="shared" si="17"/>
        <v/>
      </c>
      <c r="E303" t="str">
        <f t="shared" si="18"/>
        <v>Liebetanz</v>
      </c>
      <c r="N303" t="str">
        <f>IF(OR(ISNUMBER(SEARCH("weg",[1]Tabelle1!C303&amp;Customers_0!D303)),
          ISNUMBER(SEARCH("gekündigt",Customers_0!C303&amp;Customers_0!D303)),
          ISNUMBER(SEARCH("rente",LOWER(Customers_0!C303&amp;Customers_0!D303)))),
   "INACTIVE",
   "ACTIVE")</f>
        <v>ACTIVE</v>
      </c>
      <c r="O303" t="str">
        <f t="shared" si="19"/>
        <v>OK</v>
      </c>
    </row>
    <row r="304" spans="1:15" x14ac:dyDescent="0.2">
      <c r="A304">
        <f>Customers_0!A304</f>
        <v>20861</v>
      </c>
      <c r="B304" t="str">
        <f>IFERROR(MID(Customers_0!B304,1,SEARCH(",",Customers_0!B304)-1),Customers_0!B304)</f>
        <v>Praxis Günther</v>
      </c>
      <c r="C304" t="str">
        <f t="shared" si="16"/>
        <v/>
      </c>
      <c r="D304" t="str">
        <f t="shared" si="17"/>
        <v/>
      </c>
      <c r="E304" t="str">
        <f t="shared" si="18"/>
        <v>Praxis Günther</v>
      </c>
      <c r="N304" t="str">
        <f>IF(OR(ISNUMBER(SEARCH("weg",[1]Tabelle1!C304&amp;Customers_0!D304)),
          ISNUMBER(SEARCH("gekündigt",Customers_0!C304&amp;Customers_0!D304)),
          ISNUMBER(SEARCH("rente",LOWER(Customers_0!C304&amp;Customers_0!D304)))),
   "INACTIVE",
   "ACTIVE")</f>
        <v>ACTIVE</v>
      </c>
      <c r="O304" t="str">
        <f t="shared" si="19"/>
        <v>OK</v>
      </c>
    </row>
    <row r="305" spans="1:15" x14ac:dyDescent="0.2">
      <c r="A305">
        <f>Customers_0!A305</f>
        <v>20862</v>
      </c>
      <c r="B305" t="str">
        <f>IFERROR(MID(Customers_0!B305,1,SEARCH(",",Customers_0!B305)-1),Customers_0!B305)</f>
        <v>Dr. Korth</v>
      </c>
      <c r="C305" t="str">
        <f t="shared" si="16"/>
        <v>Dr.</v>
      </c>
      <c r="D305" t="str">
        <f t="shared" si="17"/>
        <v/>
      </c>
      <c r="E305" t="str">
        <f t="shared" si="18"/>
        <v>Korth</v>
      </c>
      <c r="N305" t="str">
        <f>IF(OR(ISNUMBER(SEARCH("weg",[1]Tabelle1!C305&amp;Customers_0!D305)),
          ISNUMBER(SEARCH("gekündigt",Customers_0!C305&amp;Customers_0!D305)),
          ISNUMBER(SEARCH("rente",LOWER(Customers_0!C305&amp;Customers_0!D305)))),
   "INACTIVE",
   "ACTIVE")</f>
        <v>ACTIVE</v>
      </c>
      <c r="O305" t="str">
        <f t="shared" si="19"/>
        <v>OK</v>
      </c>
    </row>
    <row r="306" spans="1:15" x14ac:dyDescent="0.2">
      <c r="A306">
        <f>Customers_0!A306</f>
        <v>20863</v>
      </c>
      <c r="B306" t="str">
        <f>IFERROR(MID(Customers_0!B306,1,SEARCH(",",Customers_0!B306)-1),Customers_0!B306)</f>
        <v>Dr. Wiehn</v>
      </c>
      <c r="C306" t="str">
        <f t="shared" si="16"/>
        <v>Dr.</v>
      </c>
      <c r="D306" t="str">
        <f t="shared" si="17"/>
        <v/>
      </c>
      <c r="E306" t="str">
        <f t="shared" si="18"/>
        <v>Wiehn</v>
      </c>
      <c r="N306" t="str">
        <f>IF(OR(ISNUMBER(SEARCH("weg",[1]Tabelle1!C306&amp;Customers_0!D306)),
          ISNUMBER(SEARCH("gekündigt",Customers_0!C306&amp;Customers_0!D306)),
          ISNUMBER(SEARCH("rente",LOWER(Customers_0!C306&amp;Customers_0!D306)))),
   "INACTIVE",
   "ACTIVE")</f>
        <v>ACTIVE</v>
      </c>
      <c r="O306" t="str">
        <f t="shared" si="19"/>
        <v>OK</v>
      </c>
    </row>
    <row r="307" spans="1:15" x14ac:dyDescent="0.2">
      <c r="A307">
        <f>Customers_0!A307</f>
        <v>20865</v>
      </c>
      <c r="B307" t="str">
        <f>IFERROR(MID(Customers_0!B307,1,SEARCH(",",Customers_0!B307)-1),Customers_0!B307)</f>
        <v>Drs.Parker/ Allgäuer</v>
      </c>
      <c r="C307" t="str">
        <f t="shared" si="16"/>
        <v>Drs.Parker/</v>
      </c>
      <c r="D307" t="str">
        <f t="shared" si="17"/>
        <v/>
      </c>
      <c r="E307" t="str">
        <f t="shared" si="18"/>
        <v>Allgäuer</v>
      </c>
      <c r="N307" t="str">
        <f>IF(OR(ISNUMBER(SEARCH("weg",[1]Tabelle1!C307&amp;Customers_0!D307)),
          ISNUMBER(SEARCH("gekündigt",Customers_0!C307&amp;Customers_0!D307)),
          ISNUMBER(SEARCH("rente",LOWER(Customers_0!C307&amp;Customers_0!D307)))),
   "INACTIVE",
   "ACTIVE")</f>
        <v>ACTIVE</v>
      </c>
      <c r="O307" t="str">
        <f t="shared" si="19"/>
        <v>OK</v>
      </c>
    </row>
    <row r="308" spans="1:15" x14ac:dyDescent="0.2">
      <c r="A308">
        <f>Customers_0!A308</f>
        <v>20866</v>
      </c>
      <c r="B308" t="str">
        <f>IFERROR(MID(Customers_0!B308,1,SEARCH(",",Customers_0!B308)-1),Customers_0!B308)</f>
        <v>Dr.Meistermann</v>
      </c>
      <c r="C308" t="str">
        <f t="shared" si="16"/>
        <v/>
      </c>
      <c r="D308" t="str">
        <f t="shared" si="17"/>
        <v/>
      </c>
      <c r="E308" t="str">
        <f t="shared" si="18"/>
        <v>Dr.Meistermann</v>
      </c>
      <c r="N308" t="str">
        <f>IF(OR(ISNUMBER(SEARCH("weg",[1]Tabelle1!C308&amp;Customers_0!D308)),
          ISNUMBER(SEARCH("gekündigt",Customers_0!C308&amp;Customers_0!D308)),
          ISNUMBER(SEARCH("rente",LOWER(Customers_0!C308&amp;Customers_0!D308)))),
   "INACTIVE",
   "ACTIVE")</f>
        <v>ACTIVE</v>
      </c>
      <c r="O308" t="str">
        <f t="shared" si="19"/>
        <v>OK</v>
      </c>
    </row>
    <row r="309" spans="1:15" x14ac:dyDescent="0.2">
      <c r="A309">
        <f>Customers_0!A309</f>
        <v>20867</v>
      </c>
      <c r="B309" t="str">
        <f>IFERROR(MID(Customers_0!B309,1,SEARCH(",",Customers_0!B309)-1),Customers_0!B309)</f>
        <v>Dialyse Centrum Cuxhaven</v>
      </c>
      <c r="C309" t="str">
        <f t="shared" si="16"/>
        <v/>
      </c>
      <c r="D309" t="str">
        <f t="shared" si="17"/>
        <v/>
      </c>
      <c r="E309" t="str">
        <f t="shared" si="18"/>
        <v>Dialyse Centrum Cuxhaven</v>
      </c>
      <c r="N309" t="str">
        <f>IF(OR(ISNUMBER(SEARCH("weg",[1]Tabelle1!C309&amp;Customers_0!D309)),
          ISNUMBER(SEARCH("gekündigt",Customers_0!C309&amp;Customers_0!D309)),
          ISNUMBER(SEARCH("rente",LOWER(Customers_0!C309&amp;Customers_0!D309)))),
   "INACTIVE",
   "ACTIVE")</f>
        <v>ACTIVE</v>
      </c>
      <c r="O309" t="str">
        <f t="shared" si="19"/>
        <v>OK</v>
      </c>
    </row>
    <row r="310" spans="1:15" x14ac:dyDescent="0.2">
      <c r="A310">
        <f>Customers_0!A310</f>
        <v>20868</v>
      </c>
      <c r="B310" t="str">
        <f>IFERROR(MID(Customers_0!B310,1,SEARCH(",",Customers_0!B310)-1),Customers_0!B310)</f>
        <v>Dr. Weng</v>
      </c>
      <c r="C310" t="str">
        <f t="shared" si="16"/>
        <v>Dr.</v>
      </c>
      <c r="D310" t="str">
        <f t="shared" si="17"/>
        <v/>
      </c>
      <c r="E310" t="str">
        <f t="shared" si="18"/>
        <v>Weng</v>
      </c>
      <c r="N310" t="str">
        <f>IF(OR(ISNUMBER(SEARCH("weg",[1]Tabelle1!C310&amp;Customers_0!D310)),
          ISNUMBER(SEARCH("gekündigt",Customers_0!C310&amp;Customers_0!D310)),
          ISNUMBER(SEARCH("rente",LOWER(Customers_0!C310&amp;Customers_0!D310)))),
   "INACTIVE",
   "ACTIVE")</f>
        <v>INACTIVE</v>
      </c>
      <c r="O310" t="str">
        <f t="shared" si="19"/>
        <v>OK</v>
      </c>
    </row>
    <row r="311" spans="1:15" x14ac:dyDescent="0.2">
      <c r="A311">
        <f>Customers_0!A311</f>
        <v>20869</v>
      </c>
      <c r="B311" t="str">
        <f>IFERROR(MID(Customers_0!B311,1,SEARCH(",",Customers_0!B311)-1),Customers_0!B311)</f>
        <v>Dr. Umbach</v>
      </c>
      <c r="C311" t="str">
        <f t="shared" si="16"/>
        <v>Dr.</v>
      </c>
      <c r="D311" t="str">
        <f t="shared" si="17"/>
        <v/>
      </c>
      <c r="E311" t="str">
        <f t="shared" si="18"/>
        <v>Umbach</v>
      </c>
      <c r="N311" t="str">
        <f>IF(OR(ISNUMBER(SEARCH("weg",[1]Tabelle1!C311&amp;Customers_0!D311)),
          ISNUMBER(SEARCH("gekündigt",Customers_0!C311&amp;Customers_0!D311)),
          ISNUMBER(SEARCH("rente",LOWER(Customers_0!C311&amp;Customers_0!D311)))),
   "INACTIVE",
   "ACTIVE")</f>
        <v>ACTIVE</v>
      </c>
      <c r="O311" t="str">
        <f t="shared" si="19"/>
        <v>OK</v>
      </c>
    </row>
    <row r="312" spans="1:15" x14ac:dyDescent="0.2">
      <c r="A312">
        <f>Customers_0!A312</f>
        <v>20870</v>
      </c>
      <c r="B312" t="str">
        <f>IFERROR(MID(Customers_0!B312,1,SEARCH(",",Customers_0!B312)-1),Customers_0!B312)</f>
        <v>Dr. Kolwe</v>
      </c>
      <c r="C312" t="str">
        <f t="shared" si="16"/>
        <v>Dr.</v>
      </c>
      <c r="D312" t="str">
        <f t="shared" si="17"/>
        <v/>
      </c>
      <c r="E312" t="str">
        <f t="shared" si="18"/>
        <v>Kolwe</v>
      </c>
      <c r="N312" t="str">
        <f>IF(OR(ISNUMBER(SEARCH("weg",[1]Tabelle1!C312&amp;Customers_0!D312)),
          ISNUMBER(SEARCH("gekündigt",Customers_0!C312&amp;Customers_0!D312)),
          ISNUMBER(SEARCH("rente",LOWER(Customers_0!C312&amp;Customers_0!D312)))),
   "INACTIVE",
   "ACTIVE")</f>
        <v>ACTIVE</v>
      </c>
      <c r="O312" t="str">
        <f t="shared" si="19"/>
        <v>OK</v>
      </c>
    </row>
    <row r="313" spans="1:15" x14ac:dyDescent="0.2">
      <c r="A313">
        <f>Customers_0!A313</f>
        <v>20871</v>
      </c>
      <c r="B313" t="str">
        <f>IFERROR(MID(Customers_0!B313,1,SEARCH(",",Customers_0!B313)-1),Customers_0!B313)</f>
        <v>Svetlana Bruk</v>
      </c>
      <c r="C313" t="str">
        <f t="shared" si="16"/>
        <v/>
      </c>
      <c r="D313" t="str">
        <f t="shared" si="17"/>
        <v/>
      </c>
      <c r="E313" t="str">
        <f t="shared" si="18"/>
        <v>Svetlana Bruk</v>
      </c>
      <c r="N313" t="str">
        <f>IF(OR(ISNUMBER(SEARCH("weg",[1]Tabelle1!C313&amp;Customers_0!D313)),
          ISNUMBER(SEARCH("gekündigt",Customers_0!C313&amp;Customers_0!D313)),
          ISNUMBER(SEARCH("rente",LOWER(Customers_0!C313&amp;Customers_0!D313)))),
   "INACTIVE",
   "ACTIVE")</f>
        <v>ACTIVE</v>
      </c>
      <c r="O313" t="str">
        <f t="shared" si="19"/>
        <v>OK</v>
      </c>
    </row>
    <row r="314" spans="1:15" x14ac:dyDescent="0.2">
      <c r="A314">
        <f>Customers_0!A314</f>
        <v>20872</v>
      </c>
      <c r="B314" t="str">
        <f>IFERROR(MID(Customers_0!B314,1,SEARCH(",",Customers_0!B314)-1),Customers_0!B314)</f>
        <v>Dr. Seeber</v>
      </c>
      <c r="C314" t="str">
        <f t="shared" si="16"/>
        <v>Dr.</v>
      </c>
      <c r="D314" t="str">
        <f t="shared" si="17"/>
        <v/>
      </c>
      <c r="E314" t="str">
        <f t="shared" si="18"/>
        <v>Seeber</v>
      </c>
      <c r="N314" t="str">
        <f>IF(OR(ISNUMBER(SEARCH("weg",[1]Tabelle1!C314&amp;Customers_0!D314)),
          ISNUMBER(SEARCH("gekündigt",Customers_0!C314&amp;Customers_0!D314)),
          ISNUMBER(SEARCH("rente",LOWER(Customers_0!C314&amp;Customers_0!D314)))),
   "INACTIVE",
   "ACTIVE")</f>
        <v>ACTIVE</v>
      </c>
      <c r="O314" t="str">
        <f t="shared" si="19"/>
        <v>OK</v>
      </c>
    </row>
    <row r="315" spans="1:15" x14ac:dyDescent="0.2">
      <c r="A315">
        <f>Customers_0!A315</f>
        <v>20873</v>
      </c>
      <c r="B315" t="str">
        <f>IFERROR(MID(Customers_0!B315,1,SEARCH(",",Customers_0!B315)-1),Customers_0!B315)</f>
        <v>Dr.Spellenberg</v>
      </c>
      <c r="C315" t="str">
        <f t="shared" si="16"/>
        <v/>
      </c>
      <c r="D315" t="str">
        <f t="shared" si="17"/>
        <v/>
      </c>
      <c r="E315" t="str">
        <f t="shared" si="18"/>
        <v>Dr.Spellenberg</v>
      </c>
      <c r="N315" t="str">
        <f>IF(OR(ISNUMBER(SEARCH("weg",[1]Tabelle1!C315&amp;Customers_0!D315)),
          ISNUMBER(SEARCH("gekündigt",Customers_0!C315&amp;Customers_0!D315)),
          ISNUMBER(SEARCH("rente",LOWER(Customers_0!C315&amp;Customers_0!D315)))),
   "INACTIVE",
   "ACTIVE")</f>
        <v>ACTIVE</v>
      </c>
      <c r="O315" t="str">
        <f t="shared" si="19"/>
        <v>OK</v>
      </c>
    </row>
    <row r="316" spans="1:15" x14ac:dyDescent="0.2">
      <c r="A316">
        <f>Customers_0!A316</f>
        <v>20874</v>
      </c>
      <c r="B316" t="str">
        <f>IFERROR(MID(Customers_0!B316,1,SEARCH(",",Customers_0!B316)-1),Customers_0!B316)</f>
        <v xml:space="preserve">Dr. Jünemann </v>
      </c>
      <c r="C316" t="str">
        <f t="shared" si="16"/>
        <v>Dr.</v>
      </c>
      <c r="D316" t="str">
        <f t="shared" si="17"/>
        <v/>
      </c>
      <c r="E316" t="str">
        <f t="shared" si="18"/>
        <v>Jünemann</v>
      </c>
      <c r="N316" t="str">
        <f>IF(OR(ISNUMBER(SEARCH("weg",[1]Tabelle1!C316&amp;Customers_0!D316)),
          ISNUMBER(SEARCH("gekündigt",Customers_0!C316&amp;Customers_0!D316)),
          ISNUMBER(SEARCH("rente",LOWER(Customers_0!C316&amp;Customers_0!D316)))),
   "INACTIVE",
   "ACTIVE")</f>
        <v>ACTIVE</v>
      </c>
      <c r="O316" t="str">
        <f t="shared" si="19"/>
        <v>OK</v>
      </c>
    </row>
    <row r="317" spans="1:15" x14ac:dyDescent="0.2">
      <c r="A317">
        <f>Customers_0!A317</f>
        <v>20875</v>
      </c>
      <c r="B317" t="str">
        <f>IFERROR(MID(Customers_0!B317,1,SEARCH(",",Customers_0!B317)-1),Customers_0!B317)</f>
        <v>Drs.Ludwig/ Wild</v>
      </c>
      <c r="C317" t="str">
        <f t="shared" si="16"/>
        <v>Drs.Ludwig/</v>
      </c>
      <c r="D317" t="str">
        <f t="shared" si="17"/>
        <v/>
      </c>
      <c r="E317" t="str">
        <f t="shared" si="18"/>
        <v>Wild</v>
      </c>
      <c r="N317" t="str">
        <f>IF(OR(ISNUMBER(SEARCH("weg",[1]Tabelle1!C317&amp;Customers_0!D317)),
          ISNUMBER(SEARCH("gekündigt",Customers_0!C317&amp;Customers_0!D317)),
          ISNUMBER(SEARCH("rente",LOWER(Customers_0!C317&amp;Customers_0!D317)))),
   "INACTIVE",
   "ACTIVE")</f>
        <v>ACTIVE</v>
      </c>
      <c r="O317" t="str">
        <f t="shared" si="19"/>
        <v>OK</v>
      </c>
    </row>
    <row r="318" spans="1:15" x14ac:dyDescent="0.2">
      <c r="A318">
        <f>Customers_0!A318</f>
        <v>20876</v>
      </c>
      <c r="B318" t="str">
        <f>IFERROR(MID(Customers_0!B318,1,SEARCH(",",Customers_0!B318)-1),Customers_0!B318)</f>
        <v>Dr.Müller</v>
      </c>
      <c r="C318" t="str">
        <f t="shared" si="16"/>
        <v/>
      </c>
      <c r="D318" t="str">
        <f t="shared" si="17"/>
        <v/>
      </c>
      <c r="E318" t="str">
        <f t="shared" si="18"/>
        <v>Dr.Müller</v>
      </c>
      <c r="N318" t="str">
        <f>IF(OR(ISNUMBER(SEARCH("weg",[1]Tabelle1!C318&amp;Customers_0!D318)),
          ISNUMBER(SEARCH("gekündigt",Customers_0!C318&amp;Customers_0!D318)),
          ISNUMBER(SEARCH("rente",LOWER(Customers_0!C318&amp;Customers_0!D318)))),
   "INACTIVE",
   "ACTIVE")</f>
        <v>ACTIVE</v>
      </c>
      <c r="O318" t="str">
        <f t="shared" si="19"/>
        <v>OK</v>
      </c>
    </row>
    <row r="319" spans="1:15" x14ac:dyDescent="0.2">
      <c r="A319">
        <f>Customers_0!A319</f>
        <v>20877</v>
      </c>
      <c r="B319" t="str">
        <f>IFERROR(MID(Customers_0!B319,1,SEARCH(",",Customers_0!B319)-1),Customers_0!B319)</f>
        <v>Drs. De Jager/Schwarz</v>
      </c>
      <c r="C319" t="str">
        <f t="shared" si="16"/>
        <v>Drs.</v>
      </c>
      <c r="D319" t="str">
        <f t="shared" si="17"/>
        <v/>
      </c>
      <c r="E319" t="str">
        <f t="shared" si="18"/>
        <v>De Jager/Schwarz</v>
      </c>
      <c r="N319" t="str">
        <f>IF(OR(ISNUMBER(SEARCH("weg",[1]Tabelle1!C319&amp;Customers_0!D319)),
          ISNUMBER(SEARCH("gekündigt",Customers_0!C319&amp;Customers_0!D319)),
          ISNUMBER(SEARCH("rente",LOWER(Customers_0!C319&amp;Customers_0!D319)))),
   "INACTIVE",
   "ACTIVE")</f>
        <v>ACTIVE</v>
      </c>
      <c r="O319" t="str">
        <f t="shared" si="19"/>
        <v>PRÜFEN</v>
      </c>
    </row>
    <row r="320" spans="1:15" x14ac:dyDescent="0.2">
      <c r="A320">
        <f>Customers_0!A320</f>
        <v>20878</v>
      </c>
      <c r="B320" t="str">
        <f>IFERROR(MID(Customers_0!B320,1,SEARCH(",",Customers_0!B320)-1),Customers_0!B320)</f>
        <v>Dr. Voucko-Glockner</v>
      </c>
      <c r="C320" t="str">
        <f t="shared" si="16"/>
        <v>Dr.</v>
      </c>
      <c r="D320" t="str">
        <f t="shared" si="17"/>
        <v/>
      </c>
      <c r="E320" t="str">
        <f t="shared" si="18"/>
        <v>Voucko-Glockner</v>
      </c>
      <c r="N320" t="str">
        <f>IF(OR(ISNUMBER(SEARCH("weg",[1]Tabelle1!C320&amp;Customers_0!D320)),
          ISNUMBER(SEARCH("gekündigt",Customers_0!C320&amp;Customers_0!D320)),
          ISNUMBER(SEARCH("rente",LOWER(Customers_0!C320&amp;Customers_0!D320)))),
   "INACTIVE",
   "ACTIVE")</f>
        <v>ACTIVE</v>
      </c>
      <c r="O320" t="str">
        <f t="shared" si="19"/>
        <v>PRÜFEN</v>
      </c>
    </row>
    <row r="321" spans="1:15" x14ac:dyDescent="0.2">
      <c r="A321">
        <f>Customers_0!A321</f>
        <v>20879</v>
      </c>
      <c r="B321" t="str">
        <f>IFERROR(MID(Customers_0!B321,1,SEARCH(",",Customers_0!B321)-1),Customers_0!B321)</f>
        <v>Dr. Gutmann</v>
      </c>
      <c r="C321" t="str">
        <f t="shared" si="16"/>
        <v>Dr.</v>
      </c>
      <c r="D321" t="str">
        <f t="shared" si="17"/>
        <v/>
      </c>
      <c r="E321" t="str">
        <f t="shared" si="18"/>
        <v>Gutmann</v>
      </c>
      <c r="N321" t="str">
        <f>IF(OR(ISNUMBER(SEARCH("weg",[1]Tabelle1!C321&amp;Customers_0!D321)),
          ISNUMBER(SEARCH("gekündigt",Customers_0!C321&amp;Customers_0!D321)),
          ISNUMBER(SEARCH("rente",LOWER(Customers_0!C321&amp;Customers_0!D321)))),
   "INACTIVE",
   "ACTIVE")</f>
        <v>ACTIVE</v>
      </c>
      <c r="O321" t="str">
        <f t="shared" si="19"/>
        <v>OK</v>
      </c>
    </row>
    <row r="322" spans="1:15" x14ac:dyDescent="0.2">
      <c r="A322">
        <f>Customers_0!A322</f>
        <v>20880</v>
      </c>
      <c r="B322" t="str">
        <f>IFERROR(MID(Customers_0!B322,1,SEARCH(",",Customers_0!B322)-1),Customers_0!B322)</f>
        <v>Dr. Sutter</v>
      </c>
      <c r="C322" t="str">
        <f t="shared" ref="C322:C385" si="20">IFERROR(
 IF(OR(
   LEFT(B322,3)="Dr.",
   LEFT(B322,2)="Dr",
   LEFT(B322,4)="Dres",
   LEFT(B322,5)="Dres.",
   LEFT(B322,4)="Prof",
   LEFT(B322,5)="Prof.",
   LEFT(B322,3)="PD ",
   LEFT(B322,7)="Priv.-D"
 ),
  LEFT(B322,SEARCH(" ",B322)-1),
  ""
 ),
"")</f>
        <v>Dr.</v>
      </c>
      <c r="D322" t="str">
        <f t="shared" ref="D322:D385" si="21">IFERROR(
 IF(C322="",
  "",
  IF(ISNUMBER(SEARCH(".",MID(B322,LEN(C322)+2,3))),
    MID(B322,LEN(C322)+2,2),
    ""
  )
 ),
"")</f>
        <v/>
      </c>
      <c r="E322" t="str">
        <f t="shared" ref="E322:E385" si="22">IFERROR(
 TRIM(
   IF(C322="",
        IF(ISNUMBER(SEARCH(",",B322)), LEFT(B322,SEARCH(",",B322)-1), B322),
        IF(D322="",
             TRIM(MID(B322, LEN(C322)+2, 999)),
             TRIM(MID(B322, LEN(C322&amp;" "&amp;D322)+2, 999))
        )
   )
 ),
""
)</f>
        <v>Sutter</v>
      </c>
      <c r="N322" t="str">
        <f>IF(OR(ISNUMBER(SEARCH("weg",[1]Tabelle1!C322&amp;Customers_0!D322)),
          ISNUMBER(SEARCH("gekündigt",Customers_0!C322&amp;Customers_0!D322)),
          ISNUMBER(SEARCH("rente",LOWER(Customers_0!C322&amp;Customers_0!D322)))),
   "INACTIVE",
   "ACTIVE")</f>
        <v>ACTIVE</v>
      </c>
      <c r="O322" t="str">
        <f t="shared" ref="O322:O385" si="23">IF(OR(
   ISERROR(D322),
   ISERROR(E322),
   ISNUMBER(SEARCH("/",E322)),
   ISNUMBER(SEARCH("-",E322))
 ),"PRÜFEN","OK")</f>
        <v>OK</v>
      </c>
    </row>
    <row r="323" spans="1:15" x14ac:dyDescent="0.2">
      <c r="A323">
        <f>Customers_0!A323</f>
        <v>20881</v>
      </c>
      <c r="B323" t="str">
        <f>IFERROR(MID(Customers_0!B323,1,SEARCH(",",Customers_0!B323)-1),Customers_0!B323)</f>
        <v>Drs.Krebber/Göpfrich</v>
      </c>
      <c r="C323" t="str">
        <f t="shared" si="20"/>
        <v/>
      </c>
      <c r="D323" t="str">
        <f t="shared" si="21"/>
        <v/>
      </c>
      <c r="E323" t="str">
        <f t="shared" si="22"/>
        <v>Drs.Krebber/Göpfrich</v>
      </c>
      <c r="N323" t="str">
        <f>IF(OR(ISNUMBER(SEARCH("weg",[1]Tabelle1!C323&amp;Customers_0!D323)),
          ISNUMBER(SEARCH("gekündigt",Customers_0!C323&amp;Customers_0!D323)),
          ISNUMBER(SEARCH("rente",LOWER(Customers_0!C323&amp;Customers_0!D323)))),
   "INACTIVE",
   "ACTIVE")</f>
        <v>INACTIVE</v>
      </c>
      <c r="O323" t="str">
        <f t="shared" si="23"/>
        <v>PRÜFEN</v>
      </c>
    </row>
    <row r="324" spans="1:15" x14ac:dyDescent="0.2">
      <c r="A324">
        <f>Customers_0!A324</f>
        <v>20882</v>
      </c>
      <c r="B324" t="str">
        <f>IFERROR(MID(Customers_0!B324,1,SEARCH(",",Customers_0!B324)-1),Customers_0!B324)</f>
        <v>Dr. Hillje</v>
      </c>
      <c r="C324" t="str">
        <f t="shared" si="20"/>
        <v>Dr.</v>
      </c>
      <c r="D324" t="str">
        <f t="shared" si="21"/>
        <v/>
      </c>
      <c r="E324" t="str">
        <f t="shared" si="22"/>
        <v>Hillje</v>
      </c>
      <c r="N324" t="str">
        <f>IF(OR(ISNUMBER(SEARCH("weg",[1]Tabelle1!C324&amp;Customers_0!D324)),
          ISNUMBER(SEARCH("gekündigt",Customers_0!C324&amp;Customers_0!D324)),
          ISNUMBER(SEARCH("rente",LOWER(Customers_0!C324&amp;Customers_0!D324)))),
   "INACTIVE",
   "ACTIVE")</f>
        <v>INACTIVE</v>
      </c>
      <c r="O324" t="str">
        <f t="shared" si="23"/>
        <v>OK</v>
      </c>
    </row>
    <row r="325" spans="1:15" x14ac:dyDescent="0.2">
      <c r="A325">
        <f>Customers_0!A325</f>
        <v>20883</v>
      </c>
      <c r="B325" t="str">
        <f>IFERROR(MID(Customers_0!B325,1,SEARCH(",",Customers_0!B325)-1),Customers_0!B325)</f>
        <v xml:space="preserve">Plexxon </v>
      </c>
      <c r="C325" t="str">
        <f t="shared" si="20"/>
        <v/>
      </c>
      <c r="D325" t="str">
        <f t="shared" si="21"/>
        <v/>
      </c>
      <c r="E325" t="str">
        <f t="shared" si="22"/>
        <v>Plexxon</v>
      </c>
      <c r="N325" t="str">
        <f>IF(OR(ISNUMBER(SEARCH("weg",[1]Tabelle1!C325&amp;Customers_0!D325)),
          ISNUMBER(SEARCH("gekündigt",Customers_0!C325&amp;Customers_0!D325)),
          ISNUMBER(SEARCH("rente",LOWER(Customers_0!C325&amp;Customers_0!D325)))),
   "INACTIVE",
   "ACTIVE")</f>
        <v>INACTIVE</v>
      </c>
      <c r="O325" t="str">
        <f t="shared" si="23"/>
        <v>OK</v>
      </c>
    </row>
    <row r="326" spans="1:15" x14ac:dyDescent="0.2">
      <c r="A326">
        <f>Customers_0!A326</f>
        <v>20884</v>
      </c>
      <c r="B326" t="str">
        <f>IFERROR(MID(Customers_0!B326,1,SEARCH(",",Customers_0!B326)-1),Customers_0!B326)</f>
        <v>Dr. Tschürtz</v>
      </c>
      <c r="C326" t="str">
        <f t="shared" si="20"/>
        <v>Dr.</v>
      </c>
      <c r="D326" t="str">
        <f t="shared" si="21"/>
        <v/>
      </c>
      <c r="E326" t="str">
        <f t="shared" si="22"/>
        <v>Tschürtz</v>
      </c>
      <c r="N326" t="str">
        <f>IF(OR(ISNUMBER(SEARCH("weg",[1]Tabelle1!C326&amp;Customers_0!D326)),
          ISNUMBER(SEARCH("gekündigt",Customers_0!C326&amp;Customers_0!D326)),
          ISNUMBER(SEARCH("rente",LOWER(Customers_0!C326&amp;Customers_0!D326)))),
   "INACTIVE",
   "ACTIVE")</f>
        <v>ACTIVE</v>
      </c>
      <c r="O326" t="str">
        <f t="shared" si="23"/>
        <v>OK</v>
      </c>
    </row>
    <row r="327" spans="1:15" x14ac:dyDescent="0.2">
      <c r="A327">
        <f>Customers_0!A327</f>
        <v>20885</v>
      </c>
      <c r="B327" t="str">
        <f>IFERROR(MID(Customers_0!B327,1,SEARCH(",",Customers_0!B327)-1),Customers_0!B327)</f>
        <v>Drs.Kraus-Schröter/ Muck</v>
      </c>
      <c r="C327" t="str">
        <f t="shared" si="20"/>
        <v>Drs.Kraus-Schröter/</v>
      </c>
      <c r="D327" t="str">
        <f t="shared" si="21"/>
        <v/>
      </c>
      <c r="E327" t="str">
        <f t="shared" si="22"/>
        <v>Muck</v>
      </c>
      <c r="N327" t="str">
        <f>IF(OR(ISNUMBER(SEARCH("weg",[1]Tabelle1!C327&amp;Customers_0!D327)),
          ISNUMBER(SEARCH("gekündigt",Customers_0!C327&amp;Customers_0!D327)),
          ISNUMBER(SEARCH("rente",LOWER(Customers_0!C327&amp;Customers_0!D327)))),
   "INACTIVE",
   "ACTIVE")</f>
        <v>ACTIVE</v>
      </c>
      <c r="O327" t="str">
        <f t="shared" si="23"/>
        <v>OK</v>
      </c>
    </row>
    <row r="328" spans="1:15" x14ac:dyDescent="0.2">
      <c r="A328">
        <f>Customers_0!A328</f>
        <v>20886</v>
      </c>
      <c r="B328" t="str">
        <f>IFERROR(MID(Customers_0!B328,1,SEARCH(",",Customers_0!B328)-1),Customers_0!B328)</f>
        <v>Kinderzentrum</v>
      </c>
      <c r="C328" t="str">
        <f t="shared" si="20"/>
        <v/>
      </c>
      <c r="D328" t="str">
        <f t="shared" si="21"/>
        <v/>
      </c>
      <c r="E328" t="str">
        <f t="shared" si="22"/>
        <v>Kinderzentrum</v>
      </c>
      <c r="N328" t="str">
        <f>IF(OR(ISNUMBER(SEARCH("weg",[1]Tabelle1!C328&amp;Customers_0!D328)),
          ISNUMBER(SEARCH("gekündigt",Customers_0!C328&amp;Customers_0!D328)),
          ISNUMBER(SEARCH("rente",LOWER(Customers_0!C328&amp;Customers_0!D328)))),
   "INACTIVE",
   "ACTIVE")</f>
        <v>ACTIVE</v>
      </c>
      <c r="O328" t="str">
        <f t="shared" si="23"/>
        <v>OK</v>
      </c>
    </row>
    <row r="329" spans="1:15" x14ac:dyDescent="0.2">
      <c r="A329">
        <f>Customers_0!A329</f>
        <v>20887</v>
      </c>
      <c r="B329" t="str">
        <f>IFERROR(MID(Customers_0!B329,1,SEARCH(",",Customers_0!B329)-1),Customers_0!B329)</f>
        <v>Dr.Dohm</v>
      </c>
      <c r="C329" t="str">
        <f t="shared" si="20"/>
        <v/>
      </c>
      <c r="D329" t="str">
        <f t="shared" si="21"/>
        <v/>
      </c>
      <c r="E329" t="str">
        <f t="shared" si="22"/>
        <v>Dr.Dohm</v>
      </c>
      <c r="N329" t="str">
        <f>IF(OR(ISNUMBER(SEARCH("weg",[1]Tabelle1!C329&amp;Customers_0!D329)),
          ISNUMBER(SEARCH("gekündigt",Customers_0!C329&amp;Customers_0!D329)),
          ISNUMBER(SEARCH("rente",LOWER(Customers_0!C329&amp;Customers_0!D329)))),
   "INACTIVE",
   "ACTIVE")</f>
        <v>ACTIVE</v>
      </c>
      <c r="O329" t="str">
        <f t="shared" si="23"/>
        <v>OK</v>
      </c>
    </row>
    <row r="330" spans="1:15" x14ac:dyDescent="0.2">
      <c r="A330">
        <f>Customers_0!A330</f>
        <v>20888</v>
      </c>
      <c r="B330" t="str">
        <f>IFERROR(MID(Customers_0!B330,1,SEARCH(",",Customers_0!B330)-1),Customers_0!B330)</f>
        <v>Dr. Haag</v>
      </c>
      <c r="C330" t="str">
        <f t="shared" si="20"/>
        <v>Dr.</v>
      </c>
      <c r="D330" t="str">
        <f t="shared" si="21"/>
        <v/>
      </c>
      <c r="E330" t="str">
        <f t="shared" si="22"/>
        <v>Haag</v>
      </c>
      <c r="N330" t="str">
        <f>IF(OR(ISNUMBER(SEARCH("weg",[1]Tabelle1!C330&amp;Customers_0!D330)),
          ISNUMBER(SEARCH("gekündigt",Customers_0!C330&amp;Customers_0!D330)),
          ISNUMBER(SEARCH("rente",LOWER(Customers_0!C330&amp;Customers_0!D330)))),
   "INACTIVE",
   "ACTIVE")</f>
        <v>ACTIVE</v>
      </c>
      <c r="O330" t="str">
        <f t="shared" si="23"/>
        <v>OK</v>
      </c>
    </row>
    <row r="331" spans="1:15" x14ac:dyDescent="0.2">
      <c r="A331">
        <f>Customers_0!A331</f>
        <v>20889</v>
      </c>
      <c r="B331" t="str">
        <f>IFERROR(MID(Customers_0!B331,1,SEARCH(",",Customers_0!B331)-1),Customers_0!B331)</f>
        <v>Dr.Steiner</v>
      </c>
      <c r="C331" t="str">
        <f t="shared" si="20"/>
        <v/>
      </c>
      <c r="D331" t="str">
        <f t="shared" si="21"/>
        <v/>
      </c>
      <c r="E331" t="str">
        <f t="shared" si="22"/>
        <v>Dr.Steiner</v>
      </c>
      <c r="N331" t="str">
        <f>IF(OR(ISNUMBER(SEARCH("weg",[1]Tabelle1!C331&amp;Customers_0!D331)),
          ISNUMBER(SEARCH("gekündigt",Customers_0!C331&amp;Customers_0!D331)),
          ISNUMBER(SEARCH("rente",LOWER(Customers_0!C331&amp;Customers_0!D331)))),
   "INACTIVE",
   "ACTIVE")</f>
        <v>ACTIVE</v>
      </c>
      <c r="O331" t="str">
        <f t="shared" si="23"/>
        <v>OK</v>
      </c>
    </row>
    <row r="332" spans="1:15" x14ac:dyDescent="0.2">
      <c r="A332">
        <f>Customers_0!A332</f>
        <v>20890</v>
      </c>
      <c r="B332" t="str">
        <f>IFERROR(MID(Customers_0!B332,1,SEARCH(",",Customers_0!B332)-1),Customers_0!B332)</f>
        <v>Dres.Decker/Münsch</v>
      </c>
      <c r="C332" t="str">
        <f t="shared" si="20"/>
        <v/>
      </c>
      <c r="D332" t="str">
        <f t="shared" si="21"/>
        <v/>
      </c>
      <c r="E332" t="str">
        <f t="shared" si="22"/>
        <v>Dres.Decker/Münsch</v>
      </c>
      <c r="N332" t="str">
        <f>IF(OR(ISNUMBER(SEARCH("weg",[1]Tabelle1!C332&amp;Customers_0!D332)),
          ISNUMBER(SEARCH("gekündigt",Customers_0!C332&amp;Customers_0!D332)),
          ISNUMBER(SEARCH("rente",LOWER(Customers_0!C332&amp;Customers_0!D332)))),
   "INACTIVE",
   "ACTIVE")</f>
        <v>ACTIVE</v>
      </c>
      <c r="O332" t="str">
        <f t="shared" si="23"/>
        <v>PRÜFEN</v>
      </c>
    </row>
    <row r="333" spans="1:15" x14ac:dyDescent="0.2">
      <c r="A333">
        <f>Customers_0!A333</f>
        <v>20891</v>
      </c>
      <c r="B333" t="str">
        <f>IFERROR(MID(Customers_0!B333,1,SEARCH(",",Customers_0!B333)-1),Customers_0!B333)</f>
        <v>KSC Jugend</v>
      </c>
      <c r="C333" t="str">
        <f t="shared" si="20"/>
        <v/>
      </c>
      <c r="D333" t="str">
        <f t="shared" si="21"/>
        <v/>
      </c>
      <c r="E333" t="str">
        <f t="shared" si="22"/>
        <v>KSC Jugend</v>
      </c>
      <c r="N333" t="str">
        <f>IF(OR(ISNUMBER(SEARCH("weg",[1]Tabelle1!C333&amp;Customers_0!D333)),
          ISNUMBER(SEARCH("gekündigt",Customers_0!C333&amp;Customers_0!D333)),
          ISNUMBER(SEARCH("rente",LOWER(Customers_0!C333&amp;Customers_0!D333)))),
   "INACTIVE",
   "ACTIVE")</f>
        <v>ACTIVE</v>
      </c>
      <c r="O333" t="str">
        <f t="shared" si="23"/>
        <v>OK</v>
      </c>
    </row>
    <row r="334" spans="1:15" x14ac:dyDescent="0.2">
      <c r="A334">
        <f>Customers_0!A334</f>
        <v>20892</v>
      </c>
      <c r="B334" t="str">
        <f>IFERROR(MID(Customers_0!B334,1,SEARCH(",",Customers_0!B334)-1),Customers_0!B334)</f>
        <v>Dr.Heinz</v>
      </c>
      <c r="C334" t="str">
        <f t="shared" si="20"/>
        <v/>
      </c>
      <c r="D334" t="str">
        <f t="shared" si="21"/>
        <v/>
      </c>
      <c r="E334" t="str">
        <f t="shared" si="22"/>
        <v>Dr.Heinz</v>
      </c>
      <c r="N334" t="str">
        <f>IF(OR(ISNUMBER(SEARCH("weg",[1]Tabelle1!C334&amp;Customers_0!D334)),
          ISNUMBER(SEARCH("gekündigt",Customers_0!C334&amp;Customers_0!D334)),
          ISNUMBER(SEARCH("rente",LOWER(Customers_0!C334&amp;Customers_0!D334)))),
   "INACTIVE",
   "ACTIVE")</f>
        <v>ACTIVE</v>
      </c>
      <c r="O334" t="str">
        <f t="shared" si="23"/>
        <v>OK</v>
      </c>
    </row>
    <row r="335" spans="1:15" x14ac:dyDescent="0.2">
      <c r="A335">
        <f>Customers_0!A335</f>
        <v>20893</v>
      </c>
      <c r="B335" t="str">
        <f>IFERROR(MID(Customers_0!B335,1,SEARCH(",",Customers_0!B335)-1),Customers_0!B335)</f>
        <v>Dr.Schreiner</v>
      </c>
      <c r="C335" t="str">
        <f t="shared" si="20"/>
        <v/>
      </c>
      <c r="D335" t="str">
        <f t="shared" si="21"/>
        <v/>
      </c>
      <c r="E335" t="str">
        <f t="shared" si="22"/>
        <v>Dr.Schreiner</v>
      </c>
      <c r="N335" t="str">
        <f>IF(OR(ISNUMBER(SEARCH("weg",[1]Tabelle1!C335&amp;Customers_0!D335)),
          ISNUMBER(SEARCH("gekündigt",Customers_0!C335&amp;Customers_0!D335)),
          ISNUMBER(SEARCH("rente",LOWER(Customers_0!C335&amp;Customers_0!D335)))),
   "INACTIVE",
   "ACTIVE")</f>
        <v>ACTIVE</v>
      </c>
      <c r="O335" t="str">
        <f t="shared" si="23"/>
        <v>OK</v>
      </c>
    </row>
    <row r="336" spans="1:15" x14ac:dyDescent="0.2">
      <c r="A336">
        <f>Customers_0!A336</f>
        <v>20894</v>
      </c>
      <c r="B336" t="str">
        <f>IFERROR(MID(Customers_0!B336,1,SEARCH(",",Customers_0!B336)-1),Customers_0!B336)</f>
        <v>K. Braband</v>
      </c>
      <c r="C336" t="str">
        <f t="shared" si="20"/>
        <v/>
      </c>
      <c r="D336" t="str">
        <f t="shared" si="21"/>
        <v/>
      </c>
      <c r="E336" t="str">
        <f t="shared" si="22"/>
        <v>K. Braband</v>
      </c>
      <c r="N336" t="str">
        <f>IF(OR(ISNUMBER(SEARCH("weg",[1]Tabelle1!C336&amp;Customers_0!D336)),
          ISNUMBER(SEARCH("gekündigt",Customers_0!C336&amp;Customers_0!D336)),
          ISNUMBER(SEARCH("rente",LOWER(Customers_0!C336&amp;Customers_0!D336)))),
   "INACTIVE",
   "ACTIVE")</f>
        <v>ACTIVE</v>
      </c>
      <c r="O336" t="str">
        <f t="shared" si="23"/>
        <v>OK</v>
      </c>
    </row>
    <row r="337" spans="1:15" x14ac:dyDescent="0.2">
      <c r="A337">
        <f>Customers_0!A337</f>
        <v>20895</v>
      </c>
      <c r="B337" t="str">
        <f>IFERROR(MID(Customers_0!B337,1,SEARCH(",",Customers_0!B337)-1),Customers_0!B337)</f>
        <v>Dr. Wawersig</v>
      </c>
      <c r="C337" t="str">
        <f t="shared" si="20"/>
        <v>Dr.</v>
      </c>
      <c r="D337" t="str">
        <f t="shared" si="21"/>
        <v/>
      </c>
      <c r="E337" t="str">
        <f t="shared" si="22"/>
        <v>Wawersig</v>
      </c>
      <c r="N337" t="str">
        <f>IF(OR(ISNUMBER(SEARCH("weg",[1]Tabelle1!C337&amp;Customers_0!D337)),
          ISNUMBER(SEARCH("gekündigt",Customers_0!C337&amp;Customers_0!D337)),
          ISNUMBER(SEARCH("rente",LOWER(Customers_0!C337&amp;Customers_0!D337)))),
   "INACTIVE",
   "ACTIVE")</f>
        <v>ACTIVE</v>
      </c>
      <c r="O337" t="str">
        <f t="shared" si="23"/>
        <v>OK</v>
      </c>
    </row>
    <row r="338" spans="1:15" x14ac:dyDescent="0.2">
      <c r="A338">
        <f>Customers_0!A338</f>
        <v>20896</v>
      </c>
      <c r="B338" t="str">
        <f>IFERROR(MID(Customers_0!B338,1,SEARCH(",",Customers_0!B338)-1),Customers_0!B338)</f>
        <v>Drs.v.Pfeil/Baumgärtel</v>
      </c>
      <c r="C338" t="str">
        <f t="shared" si="20"/>
        <v/>
      </c>
      <c r="D338" t="str">
        <f t="shared" si="21"/>
        <v/>
      </c>
      <c r="E338" t="str">
        <f t="shared" si="22"/>
        <v>Drs.v.Pfeil/Baumgärtel</v>
      </c>
      <c r="N338" t="str">
        <f>IF(OR(ISNUMBER(SEARCH("weg",[1]Tabelle1!C338&amp;Customers_0!D338)),
          ISNUMBER(SEARCH("gekündigt",Customers_0!C338&amp;Customers_0!D338)),
          ISNUMBER(SEARCH("rente",LOWER(Customers_0!C338&amp;Customers_0!D338)))),
   "INACTIVE",
   "ACTIVE")</f>
        <v>ACTIVE</v>
      </c>
      <c r="O338" t="str">
        <f t="shared" si="23"/>
        <v>PRÜFEN</v>
      </c>
    </row>
    <row r="339" spans="1:15" x14ac:dyDescent="0.2">
      <c r="A339">
        <f>Customers_0!A339</f>
        <v>20897</v>
      </c>
      <c r="B339" t="str">
        <f>IFERROR(MID(Customers_0!B339,1,SEARCH(",",Customers_0!B339)-1),Customers_0!B339)</f>
        <v>Drs.Curschmann</v>
      </c>
      <c r="C339" t="str">
        <f t="shared" si="20"/>
        <v/>
      </c>
      <c r="D339" t="str">
        <f t="shared" si="21"/>
        <v/>
      </c>
      <c r="E339" t="str">
        <f t="shared" si="22"/>
        <v>Drs.Curschmann</v>
      </c>
      <c r="N339" t="str">
        <f>IF(OR(ISNUMBER(SEARCH("weg",[1]Tabelle1!C339&amp;Customers_0!D339)),
          ISNUMBER(SEARCH("gekündigt",Customers_0!C339&amp;Customers_0!D339)),
          ISNUMBER(SEARCH("rente",LOWER(Customers_0!C339&amp;Customers_0!D339)))),
   "INACTIVE",
   "ACTIVE")</f>
        <v>ACTIVE</v>
      </c>
      <c r="O339" t="str">
        <f t="shared" si="23"/>
        <v>OK</v>
      </c>
    </row>
    <row r="340" spans="1:15" x14ac:dyDescent="0.2">
      <c r="A340">
        <f>Customers_0!A340</f>
        <v>20898</v>
      </c>
      <c r="B340" t="str">
        <f>IFERROR(MID(Customers_0!B340,1,SEARCH(",",Customers_0!B340)-1),Customers_0!B340)</f>
        <v>Dr. Otto</v>
      </c>
      <c r="C340" t="str">
        <f t="shared" si="20"/>
        <v>Dr.</v>
      </c>
      <c r="D340" t="str">
        <f t="shared" si="21"/>
        <v/>
      </c>
      <c r="E340" t="str">
        <f t="shared" si="22"/>
        <v>Otto</v>
      </c>
      <c r="N340" t="str">
        <f>IF(OR(ISNUMBER(SEARCH("weg",[1]Tabelle1!C340&amp;Customers_0!D340)),
          ISNUMBER(SEARCH("gekündigt",Customers_0!C340&amp;Customers_0!D340)),
          ISNUMBER(SEARCH("rente",LOWER(Customers_0!C340&amp;Customers_0!D340)))),
   "INACTIVE",
   "ACTIVE")</f>
        <v>INACTIVE</v>
      </c>
      <c r="O340" t="str">
        <f t="shared" si="23"/>
        <v>OK</v>
      </c>
    </row>
    <row r="341" spans="1:15" x14ac:dyDescent="0.2">
      <c r="A341">
        <f>Customers_0!A341</f>
        <v>20899</v>
      </c>
      <c r="B341" t="str">
        <f>IFERROR(MID(Customers_0!B341,1,SEARCH(",",Customers_0!B341)-1),Customers_0!B341)</f>
        <v>Dr. Steinhauser</v>
      </c>
      <c r="C341" t="str">
        <f t="shared" si="20"/>
        <v>Dr.</v>
      </c>
      <c r="D341" t="str">
        <f t="shared" si="21"/>
        <v/>
      </c>
      <c r="E341" t="str">
        <f t="shared" si="22"/>
        <v>Steinhauser</v>
      </c>
      <c r="N341" t="str">
        <f>IF(OR(ISNUMBER(SEARCH("weg",[1]Tabelle1!C341&amp;Customers_0!D341)),
          ISNUMBER(SEARCH("gekündigt",Customers_0!C341&amp;Customers_0!D341)),
          ISNUMBER(SEARCH("rente",LOWER(Customers_0!C341&amp;Customers_0!D341)))),
   "INACTIVE",
   "ACTIVE")</f>
        <v>ACTIVE</v>
      </c>
      <c r="O341" t="str">
        <f t="shared" si="23"/>
        <v>OK</v>
      </c>
    </row>
    <row r="342" spans="1:15" x14ac:dyDescent="0.2">
      <c r="A342">
        <f>Customers_0!A342</f>
        <v>20900</v>
      </c>
      <c r="B342" t="str">
        <f>IFERROR(MID(Customers_0!B342,1,SEARCH(",",Customers_0!B342)-1),Customers_0!B342)</f>
        <v>Dr.Potzler</v>
      </c>
      <c r="C342" t="str">
        <f t="shared" si="20"/>
        <v/>
      </c>
      <c r="D342" t="str">
        <f t="shared" si="21"/>
        <v/>
      </c>
      <c r="E342" t="str">
        <f t="shared" si="22"/>
        <v>Dr.Potzler</v>
      </c>
      <c r="N342" t="str">
        <f>IF(OR(ISNUMBER(SEARCH("weg",[1]Tabelle1!C342&amp;Customers_0!D342)),
          ISNUMBER(SEARCH("gekündigt",Customers_0!C342&amp;Customers_0!D342)),
          ISNUMBER(SEARCH("rente",LOWER(Customers_0!C342&amp;Customers_0!D342)))),
   "INACTIVE",
   "ACTIVE")</f>
        <v>ACTIVE</v>
      </c>
      <c r="O342" t="str">
        <f t="shared" si="23"/>
        <v>OK</v>
      </c>
    </row>
    <row r="343" spans="1:15" x14ac:dyDescent="0.2">
      <c r="A343">
        <f>Customers_0!A343</f>
        <v>20901</v>
      </c>
      <c r="B343" t="str">
        <f>IFERROR(MID(Customers_0!B343,1,SEARCH(",",Customers_0!B343)-1),Customers_0!B343)</f>
        <v>Dres. Maaßen</v>
      </c>
      <c r="C343" t="str">
        <f t="shared" si="20"/>
        <v>Dres.</v>
      </c>
      <c r="D343" t="str">
        <f t="shared" si="21"/>
        <v/>
      </c>
      <c r="E343" t="str">
        <f t="shared" si="22"/>
        <v>Maaßen</v>
      </c>
      <c r="N343" t="str">
        <f>IF(OR(ISNUMBER(SEARCH("weg",[1]Tabelle1!C343&amp;Customers_0!D343)),
          ISNUMBER(SEARCH("gekündigt",Customers_0!C343&amp;Customers_0!D343)),
          ISNUMBER(SEARCH("rente",LOWER(Customers_0!C343&amp;Customers_0!D343)))),
   "INACTIVE",
   "ACTIVE")</f>
        <v>INACTIVE</v>
      </c>
      <c r="O343" t="str">
        <f t="shared" si="23"/>
        <v>OK</v>
      </c>
    </row>
    <row r="344" spans="1:15" x14ac:dyDescent="0.2">
      <c r="A344">
        <f>Customers_0!A344</f>
        <v>20902</v>
      </c>
      <c r="B344" t="str">
        <f>IFERROR(MID(Customers_0!B344,1,SEARCH(",",Customers_0!B344)-1),Customers_0!B344)</f>
        <v>MVZ Alb/Donau</v>
      </c>
      <c r="C344" t="str">
        <f t="shared" si="20"/>
        <v/>
      </c>
      <c r="D344" t="str">
        <f t="shared" si="21"/>
        <v/>
      </c>
      <c r="E344" t="str">
        <f t="shared" si="22"/>
        <v>MVZ Alb/Donau</v>
      </c>
      <c r="N344" t="str">
        <f>IF(OR(ISNUMBER(SEARCH("weg",[1]Tabelle1!C344&amp;Customers_0!D344)),
          ISNUMBER(SEARCH("gekündigt",Customers_0!C344&amp;Customers_0!D344)),
          ISNUMBER(SEARCH("rente",LOWER(Customers_0!C344&amp;Customers_0!D344)))),
   "INACTIVE",
   "ACTIVE")</f>
        <v>ACTIVE</v>
      </c>
      <c r="O344" t="str">
        <f t="shared" si="23"/>
        <v>PRÜFEN</v>
      </c>
    </row>
    <row r="345" spans="1:15" x14ac:dyDescent="0.2">
      <c r="A345">
        <f>Customers_0!A345</f>
        <v>20903</v>
      </c>
      <c r="B345" t="str">
        <f>IFERROR(MID(Customers_0!B345,1,SEARCH(",",Customers_0!B345)-1),Customers_0!B345)</f>
        <v>Dr. Huss</v>
      </c>
      <c r="C345" t="str">
        <f t="shared" si="20"/>
        <v>Dr.</v>
      </c>
      <c r="D345" t="str">
        <f t="shared" si="21"/>
        <v/>
      </c>
      <c r="E345" t="str">
        <f t="shared" si="22"/>
        <v>Huss</v>
      </c>
      <c r="N345" t="str">
        <f>IF(OR(ISNUMBER(SEARCH("weg",[1]Tabelle1!C345&amp;Customers_0!D345)),
          ISNUMBER(SEARCH("gekündigt",Customers_0!C345&amp;Customers_0!D345)),
          ISNUMBER(SEARCH("rente",LOWER(Customers_0!C345&amp;Customers_0!D345)))),
   "INACTIVE",
   "ACTIVE")</f>
        <v>ACTIVE</v>
      </c>
      <c r="O345" t="str">
        <f t="shared" si="23"/>
        <v>OK</v>
      </c>
    </row>
    <row r="346" spans="1:15" x14ac:dyDescent="0.2">
      <c r="A346">
        <f>Customers_0!A346</f>
        <v>20904</v>
      </c>
      <c r="B346" t="str">
        <f>IFERROR(MID(Customers_0!B346,1,SEARCH(",",Customers_0!B346)-1),Customers_0!B346)</f>
        <v>Dr.Frank-Ermuth</v>
      </c>
      <c r="C346" t="str">
        <f t="shared" si="20"/>
        <v/>
      </c>
      <c r="D346" t="str">
        <f t="shared" si="21"/>
        <v/>
      </c>
      <c r="E346" t="str">
        <f t="shared" si="22"/>
        <v>Dr.Frank-Ermuth</v>
      </c>
      <c r="N346" t="str">
        <f>IF(OR(ISNUMBER(SEARCH("weg",[1]Tabelle1!C346&amp;Customers_0!D346)),
          ISNUMBER(SEARCH("gekündigt",Customers_0!C346&amp;Customers_0!D346)),
          ISNUMBER(SEARCH("rente",LOWER(Customers_0!C346&amp;Customers_0!D346)))),
   "INACTIVE",
   "ACTIVE")</f>
        <v>ACTIVE</v>
      </c>
      <c r="O346" t="str">
        <f t="shared" si="23"/>
        <v>PRÜFEN</v>
      </c>
    </row>
    <row r="347" spans="1:15" x14ac:dyDescent="0.2">
      <c r="A347">
        <f>Customers_0!A347</f>
        <v>20905</v>
      </c>
      <c r="B347" t="str">
        <f>IFERROR(MID(Customers_0!B347,1,SEARCH(",",Customers_0!B347)-1),Customers_0!B347)</f>
        <v>Ergotherapie Strittmatter</v>
      </c>
      <c r="C347" t="str">
        <f t="shared" si="20"/>
        <v/>
      </c>
      <c r="D347" t="str">
        <f t="shared" si="21"/>
        <v/>
      </c>
      <c r="E347" t="str">
        <f t="shared" si="22"/>
        <v>Ergotherapie Strittmatter</v>
      </c>
      <c r="N347" t="str">
        <f>IF(OR(ISNUMBER(SEARCH("weg",[1]Tabelle1!C347&amp;Customers_0!D347)),
          ISNUMBER(SEARCH("gekündigt",Customers_0!C347&amp;Customers_0!D347)),
          ISNUMBER(SEARCH("rente",LOWER(Customers_0!C347&amp;Customers_0!D347)))),
   "INACTIVE",
   "ACTIVE")</f>
        <v>ACTIVE</v>
      </c>
      <c r="O347" t="str">
        <f t="shared" si="23"/>
        <v>OK</v>
      </c>
    </row>
    <row r="348" spans="1:15" x14ac:dyDescent="0.2">
      <c r="A348">
        <f>Customers_0!A348</f>
        <v>20906</v>
      </c>
      <c r="B348" t="str">
        <f>IFERROR(MID(Customers_0!B348,1,SEARCH(",",Customers_0!B348)-1),Customers_0!B348)</f>
        <v>Drs.Vetter/ Pischel</v>
      </c>
      <c r="C348" t="str">
        <f t="shared" si="20"/>
        <v>Drs.Vetter/</v>
      </c>
      <c r="D348" t="str">
        <f t="shared" si="21"/>
        <v/>
      </c>
      <c r="E348" t="str">
        <f t="shared" si="22"/>
        <v>Pischel</v>
      </c>
      <c r="N348" t="str">
        <f>IF(OR(ISNUMBER(SEARCH("weg",[1]Tabelle1!C348&amp;Customers_0!D348)),
          ISNUMBER(SEARCH("gekündigt",Customers_0!C348&amp;Customers_0!D348)),
          ISNUMBER(SEARCH("rente",LOWER(Customers_0!C348&amp;Customers_0!D348)))),
   "INACTIVE",
   "ACTIVE")</f>
        <v>ACTIVE</v>
      </c>
      <c r="O348" t="str">
        <f t="shared" si="23"/>
        <v>OK</v>
      </c>
    </row>
    <row r="349" spans="1:15" x14ac:dyDescent="0.2">
      <c r="A349">
        <f>Customers_0!A349</f>
        <v>20907</v>
      </c>
      <c r="B349" t="str">
        <f>IFERROR(MID(Customers_0!B349,1,SEARCH(",",Customers_0!B349)-1),Customers_0!B349)</f>
        <v>Dr.M.Beckmann</v>
      </c>
      <c r="C349" t="str">
        <f t="shared" si="20"/>
        <v/>
      </c>
      <c r="D349" t="str">
        <f t="shared" si="21"/>
        <v/>
      </c>
      <c r="E349" t="str">
        <f t="shared" si="22"/>
        <v>Dr.M.Beckmann</v>
      </c>
      <c r="N349" t="str">
        <f>IF(OR(ISNUMBER(SEARCH("weg",[1]Tabelle1!C349&amp;Customers_0!D349)),
          ISNUMBER(SEARCH("gekündigt",Customers_0!C349&amp;Customers_0!D349)),
          ISNUMBER(SEARCH("rente",LOWER(Customers_0!C349&amp;Customers_0!D349)))),
   "INACTIVE",
   "ACTIVE")</f>
        <v>ACTIVE</v>
      </c>
      <c r="O349" t="str">
        <f t="shared" si="23"/>
        <v>OK</v>
      </c>
    </row>
    <row r="350" spans="1:15" x14ac:dyDescent="0.2">
      <c r="A350">
        <f>Customers_0!A350</f>
        <v>20908</v>
      </c>
      <c r="B350" t="str">
        <f>IFERROR(MID(Customers_0!B350,1,SEARCH(",",Customers_0!B350)-1),Customers_0!B350)</f>
        <v>M. Pross</v>
      </c>
      <c r="C350" t="str">
        <f t="shared" si="20"/>
        <v/>
      </c>
      <c r="D350" t="str">
        <f t="shared" si="21"/>
        <v/>
      </c>
      <c r="E350" t="str">
        <f t="shared" si="22"/>
        <v>M. Pross</v>
      </c>
      <c r="N350" t="str">
        <f>IF(OR(ISNUMBER(SEARCH("weg",[1]Tabelle1!C350&amp;Customers_0!D350)),
          ISNUMBER(SEARCH("gekündigt",Customers_0!C350&amp;Customers_0!D350)),
          ISNUMBER(SEARCH("rente",LOWER(Customers_0!C350&amp;Customers_0!D350)))),
   "INACTIVE",
   "ACTIVE")</f>
        <v>INACTIVE</v>
      </c>
      <c r="O350" t="str">
        <f t="shared" si="23"/>
        <v>OK</v>
      </c>
    </row>
    <row r="351" spans="1:15" x14ac:dyDescent="0.2">
      <c r="A351">
        <f>Customers_0!A351</f>
        <v>20909</v>
      </c>
      <c r="B351" t="str">
        <f>IFERROR(MID(Customers_0!B351,1,SEARCH(",",Customers_0!B351)-1),Customers_0!B351)</f>
        <v xml:space="preserve">agm </v>
      </c>
      <c r="C351" t="str">
        <f t="shared" si="20"/>
        <v/>
      </c>
      <c r="D351" t="str">
        <f t="shared" si="21"/>
        <v/>
      </c>
      <c r="E351" t="str">
        <f t="shared" si="22"/>
        <v>agm</v>
      </c>
      <c r="N351" t="str">
        <f>IF(OR(ISNUMBER(SEARCH("weg",[1]Tabelle1!C351&amp;Customers_0!D351)),
          ISNUMBER(SEARCH("gekündigt",Customers_0!C351&amp;Customers_0!D351)),
          ISNUMBER(SEARCH("rente",LOWER(Customers_0!C351&amp;Customers_0!D351)))),
   "INACTIVE",
   "ACTIVE")</f>
        <v>ACTIVE</v>
      </c>
      <c r="O351" t="str">
        <f t="shared" si="23"/>
        <v>OK</v>
      </c>
    </row>
    <row r="352" spans="1:15" x14ac:dyDescent="0.2">
      <c r="A352">
        <f>Customers_0!A352</f>
        <v>20910</v>
      </c>
      <c r="B352" t="str">
        <f>IFERROR(MID(Customers_0!B352,1,SEARCH(",",Customers_0!B352)-1),Customers_0!B352)</f>
        <v>Dres.Köller/ Gemidji</v>
      </c>
      <c r="C352" t="str">
        <f t="shared" si="20"/>
        <v>Dres.Köller/</v>
      </c>
      <c r="D352" t="str">
        <f t="shared" si="21"/>
        <v/>
      </c>
      <c r="E352" t="str">
        <f t="shared" si="22"/>
        <v>Gemidji</v>
      </c>
      <c r="N352" t="str">
        <f>IF(OR(ISNUMBER(SEARCH("weg",[1]Tabelle1!C352&amp;Customers_0!D352)),
          ISNUMBER(SEARCH("gekündigt",Customers_0!C352&amp;Customers_0!D352)),
          ISNUMBER(SEARCH("rente",LOWER(Customers_0!C352&amp;Customers_0!D352)))),
   "INACTIVE",
   "ACTIVE")</f>
        <v>ACTIVE</v>
      </c>
      <c r="O352" t="str">
        <f t="shared" si="23"/>
        <v>OK</v>
      </c>
    </row>
    <row r="353" spans="1:15" x14ac:dyDescent="0.2">
      <c r="A353">
        <f>Customers_0!A353</f>
        <v>20911</v>
      </c>
      <c r="B353" t="str">
        <f>IFERROR(MID(Customers_0!B353,1,SEARCH(",",Customers_0!B353)-1),Customers_0!B353)</f>
        <v>Dr. Kyrberg</v>
      </c>
      <c r="C353" t="str">
        <f t="shared" si="20"/>
        <v>Dr.</v>
      </c>
      <c r="D353" t="str">
        <f t="shared" si="21"/>
        <v/>
      </c>
      <c r="E353" t="str">
        <f t="shared" si="22"/>
        <v>Kyrberg</v>
      </c>
      <c r="N353" t="str">
        <f>IF(OR(ISNUMBER(SEARCH("weg",[1]Tabelle1!C353&amp;Customers_0!D353)),
          ISNUMBER(SEARCH("gekündigt",Customers_0!C353&amp;Customers_0!D353)),
          ISNUMBER(SEARCH("rente",LOWER(Customers_0!C353&amp;Customers_0!D353)))),
   "INACTIVE",
   "ACTIVE")</f>
        <v>ACTIVE</v>
      </c>
      <c r="O353" t="str">
        <f t="shared" si="23"/>
        <v>OK</v>
      </c>
    </row>
    <row r="354" spans="1:15" x14ac:dyDescent="0.2">
      <c r="A354">
        <f>Customers_0!A354</f>
        <v>20912</v>
      </c>
      <c r="B354" t="str">
        <f>IFERROR(MID(Customers_0!B354,1,SEARCH(",",Customers_0!B354)-1),Customers_0!B354)</f>
        <v>Dr. Mattar</v>
      </c>
      <c r="C354" t="str">
        <f t="shared" si="20"/>
        <v>Dr.</v>
      </c>
      <c r="D354" t="str">
        <f t="shared" si="21"/>
        <v/>
      </c>
      <c r="E354" t="str">
        <f t="shared" si="22"/>
        <v>Mattar</v>
      </c>
      <c r="N354" t="str">
        <f>IF(OR(ISNUMBER(SEARCH("weg",[1]Tabelle1!C354&amp;Customers_0!D354)),
          ISNUMBER(SEARCH("gekündigt",Customers_0!C354&amp;Customers_0!D354)),
          ISNUMBER(SEARCH("rente",LOWER(Customers_0!C354&amp;Customers_0!D354)))),
   "INACTIVE",
   "ACTIVE")</f>
        <v>INACTIVE</v>
      </c>
      <c r="O354" t="str">
        <f t="shared" si="23"/>
        <v>OK</v>
      </c>
    </row>
    <row r="355" spans="1:15" x14ac:dyDescent="0.2">
      <c r="A355">
        <f>Customers_0!A355</f>
        <v>20913</v>
      </c>
      <c r="B355" t="str">
        <f>IFERROR(MID(Customers_0!B355,1,SEARCH(",",Customers_0!B355)-1),Customers_0!B355)</f>
        <v>Dr.Bojti</v>
      </c>
      <c r="C355" t="str">
        <f t="shared" si="20"/>
        <v/>
      </c>
      <c r="D355" t="str">
        <f t="shared" si="21"/>
        <v/>
      </c>
      <c r="E355" t="str">
        <f t="shared" si="22"/>
        <v>Dr.Bojti</v>
      </c>
      <c r="N355" t="str">
        <f>IF(OR(ISNUMBER(SEARCH("weg",[1]Tabelle1!C355&amp;Customers_0!D355)),
          ISNUMBER(SEARCH("gekündigt",Customers_0!C355&amp;Customers_0!D355)),
          ISNUMBER(SEARCH("rente",LOWER(Customers_0!C355&amp;Customers_0!D355)))),
   "INACTIVE",
   "ACTIVE")</f>
        <v>ACTIVE</v>
      </c>
      <c r="O355" t="str">
        <f t="shared" si="23"/>
        <v>OK</v>
      </c>
    </row>
    <row r="356" spans="1:15" x14ac:dyDescent="0.2">
      <c r="A356">
        <f>Customers_0!A356</f>
        <v>20914</v>
      </c>
      <c r="B356" t="str">
        <f>IFERROR(MID(Customers_0!B356,1,SEARCH(",",Customers_0!B356)-1),Customers_0!B356)</f>
        <v>Dr. Hanser</v>
      </c>
      <c r="C356" t="str">
        <f t="shared" si="20"/>
        <v>Dr.</v>
      </c>
      <c r="D356" t="str">
        <f t="shared" si="21"/>
        <v/>
      </c>
      <c r="E356" t="str">
        <f t="shared" si="22"/>
        <v>Hanser</v>
      </c>
      <c r="N356" t="str">
        <f>IF(OR(ISNUMBER(SEARCH("weg",[1]Tabelle1!C356&amp;Customers_0!D356)),
          ISNUMBER(SEARCH("gekündigt",Customers_0!C356&amp;Customers_0!D356)),
          ISNUMBER(SEARCH("rente",LOWER(Customers_0!C356&amp;Customers_0!D356)))),
   "INACTIVE",
   "ACTIVE")</f>
        <v>ACTIVE</v>
      </c>
      <c r="O356" t="str">
        <f t="shared" si="23"/>
        <v>OK</v>
      </c>
    </row>
    <row r="357" spans="1:15" x14ac:dyDescent="0.2">
      <c r="A357">
        <f>Customers_0!A357</f>
        <v>20915</v>
      </c>
      <c r="B357" t="str">
        <f>IFERROR(MID(Customers_0!B357,1,SEARCH(",",Customers_0!B357)-1),Customers_0!B357)</f>
        <v>Drs. Küster</v>
      </c>
      <c r="C357" t="str">
        <f t="shared" si="20"/>
        <v>Drs.</v>
      </c>
      <c r="D357" t="str">
        <f t="shared" si="21"/>
        <v/>
      </c>
      <c r="E357" t="str">
        <f t="shared" si="22"/>
        <v>Küster</v>
      </c>
      <c r="N357" t="str">
        <f>IF(OR(ISNUMBER(SEARCH("weg",[1]Tabelle1!C357&amp;Customers_0!D357)),
          ISNUMBER(SEARCH("gekündigt",Customers_0!C357&amp;Customers_0!D357)),
          ISNUMBER(SEARCH("rente",LOWER(Customers_0!C357&amp;Customers_0!D357)))),
   "INACTIVE",
   "ACTIVE")</f>
        <v>ACTIVE</v>
      </c>
      <c r="O357" t="str">
        <f t="shared" si="23"/>
        <v>OK</v>
      </c>
    </row>
    <row r="358" spans="1:15" x14ac:dyDescent="0.2">
      <c r="A358">
        <f>Customers_0!A358</f>
        <v>20916</v>
      </c>
      <c r="B358" t="str">
        <f>IFERROR(MID(Customers_0!B358,1,SEARCH(",",Customers_0!B358)-1),Customers_0!B358)</f>
        <v>Drs. Joachim/ Zerfeld</v>
      </c>
      <c r="C358" t="str">
        <f t="shared" si="20"/>
        <v>Drs.</v>
      </c>
      <c r="D358" t="str">
        <f t="shared" si="21"/>
        <v/>
      </c>
      <c r="E358" t="str">
        <f t="shared" si="22"/>
        <v>Joachim/ Zerfeld</v>
      </c>
      <c r="N358" t="str">
        <f>IF(OR(ISNUMBER(SEARCH("weg",[1]Tabelle1!C358&amp;Customers_0!D358)),
          ISNUMBER(SEARCH("gekündigt",Customers_0!C358&amp;Customers_0!D358)),
          ISNUMBER(SEARCH("rente",LOWER(Customers_0!C358&amp;Customers_0!D358)))),
   "INACTIVE",
   "ACTIVE")</f>
        <v>ACTIVE</v>
      </c>
      <c r="O358" t="str">
        <f t="shared" si="23"/>
        <v>PRÜFEN</v>
      </c>
    </row>
    <row r="359" spans="1:15" x14ac:dyDescent="0.2">
      <c r="A359">
        <f>Customers_0!A359</f>
        <v>20917</v>
      </c>
      <c r="B359" t="str">
        <f>IFERROR(MID(Customers_0!B359,1,SEARCH(",",Customers_0!B359)-1),Customers_0!B359)</f>
        <v>Drs. Weller/Faulhaber</v>
      </c>
      <c r="C359" t="str">
        <f t="shared" si="20"/>
        <v>Drs.</v>
      </c>
      <c r="D359" t="str">
        <f t="shared" si="21"/>
        <v/>
      </c>
      <c r="E359" t="str">
        <f t="shared" si="22"/>
        <v>Weller/Faulhaber</v>
      </c>
      <c r="N359" t="str">
        <f>IF(OR(ISNUMBER(SEARCH("weg",[1]Tabelle1!C359&amp;Customers_0!D359)),
          ISNUMBER(SEARCH("gekündigt",Customers_0!C359&amp;Customers_0!D359)),
          ISNUMBER(SEARCH("rente",LOWER(Customers_0!C359&amp;Customers_0!D359)))),
   "INACTIVE",
   "ACTIVE")</f>
        <v>ACTIVE</v>
      </c>
      <c r="O359" t="str">
        <f t="shared" si="23"/>
        <v>PRÜFEN</v>
      </c>
    </row>
    <row r="360" spans="1:15" x14ac:dyDescent="0.2">
      <c r="A360">
        <f>Customers_0!A360</f>
        <v>20918</v>
      </c>
      <c r="B360" t="str">
        <f>IFERROR(MID(Customers_0!B360,1,SEARCH(",",Customers_0!B360)-1),Customers_0!B360)</f>
        <v>Dr.Mehlem</v>
      </c>
      <c r="C360" t="str">
        <f t="shared" si="20"/>
        <v/>
      </c>
      <c r="D360" t="str">
        <f t="shared" si="21"/>
        <v/>
      </c>
      <c r="E360" t="str">
        <f t="shared" si="22"/>
        <v>Dr.Mehlem</v>
      </c>
      <c r="N360" t="str">
        <f>IF(OR(ISNUMBER(SEARCH("weg",[1]Tabelle1!C360&amp;Customers_0!D360)),
          ISNUMBER(SEARCH("gekündigt",Customers_0!C360&amp;Customers_0!D360)),
          ISNUMBER(SEARCH("rente",LOWER(Customers_0!C360&amp;Customers_0!D360)))),
   "INACTIVE",
   "ACTIVE")</f>
        <v>ACTIVE</v>
      </c>
      <c r="O360" t="str">
        <f t="shared" si="23"/>
        <v>OK</v>
      </c>
    </row>
    <row r="361" spans="1:15" x14ac:dyDescent="0.2">
      <c r="A361">
        <f>Customers_0!A361</f>
        <v>20919</v>
      </c>
      <c r="B361" t="str">
        <f>IFERROR(MID(Customers_0!B361,1,SEARCH(",",Customers_0!B361)-1),Customers_0!B361)</f>
        <v>Dettmann</v>
      </c>
      <c r="C361" t="str">
        <f t="shared" si="20"/>
        <v/>
      </c>
      <c r="D361" t="str">
        <f t="shared" si="21"/>
        <v/>
      </c>
      <c r="E361" t="str">
        <f t="shared" si="22"/>
        <v>Dettmann</v>
      </c>
      <c r="N361" t="str">
        <f>IF(OR(ISNUMBER(SEARCH("weg",[1]Tabelle1!C361&amp;Customers_0!D361)),
          ISNUMBER(SEARCH("gekündigt",Customers_0!C361&amp;Customers_0!D361)),
          ISNUMBER(SEARCH("rente",LOWER(Customers_0!C361&amp;Customers_0!D361)))),
   "INACTIVE",
   "ACTIVE")</f>
        <v>ACTIVE</v>
      </c>
      <c r="O361" t="str">
        <f t="shared" si="23"/>
        <v>OK</v>
      </c>
    </row>
    <row r="362" spans="1:15" x14ac:dyDescent="0.2">
      <c r="A362">
        <f>Customers_0!A362</f>
        <v>20920</v>
      </c>
      <c r="B362" t="str">
        <f>IFERROR(MID(Customers_0!B362,1,SEARCH(",",Customers_0!B362)-1),Customers_0!B362)</f>
        <v>HebA Özen MA</v>
      </c>
      <c r="C362" t="str">
        <f t="shared" si="20"/>
        <v/>
      </c>
      <c r="D362" t="str">
        <f t="shared" si="21"/>
        <v/>
      </c>
      <c r="E362" t="str">
        <f t="shared" si="22"/>
        <v>HebA Özen MA</v>
      </c>
      <c r="N362" t="str">
        <f>IF(OR(ISNUMBER(SEARCH("weg",[1]Tabelle1!C362&amp;Customers_0!D362)),
          ISNUMBER(SEARCH("gekündigt",Customers_0!C362&amp;Customers_0!D362)),
          ISNUMBER(SEARCH("rente",LOWER(Customers_0!C362&amp;Customers_0!D362)))),
   "INACTIVE",
   "ACTIVE")</f>
        <v>ACTIVE</v>
      </c>
      <c r="O362" t="str">
        <f t="shared" si="23"/>
        <v>OK</v>
      </c>
    </row>
    <row r="363" spans="1:15" x14ac:dyDescent="0.2">
      <c r="A363">
        <f>Customers_0!A363</f>
        <v>20921</v>
      </c>
      <c r="B363" t="str">
        <f>IFERROR(MID(Customers_0!B363,1,SEARCH(",",Customers_0!B363)-1),Customers_0!B363)</f>
        <v>Fam.Praxis Merkel</v>
      </c>
      <c r="C363" t="str">
        <f t="shared" si="20"/>
        <v/>
      </c>
      <c r="D363" t="str">
        <f t="shared" si="21"/>
        <v/>
      </c>
      <c r="E363" t="str">
        <f t="shared" si="22"/>
        <v>Fam.Praxis Merkel</v>
      </c>
      <c r="N363" t="str">
        <f>IF(OR(ISNUMBER(SEARCH("weg",[1]Tabelle1!C363&amp;Customers_0!D363)),
          ISNUMBER(SEARCH("gekündigt",Customers_0!C363&amp;Customers_0!D363)),
          ISNUMBER(SEARCH("rente",LOWER(Customers_0!C363&amp;Customers_0!D363)))),
   "INACTIVE",
   "ACTIVE")</f>
        <v>ACTIVE</v>
      </c>
      <c r="O363" t="str">
        <f t="shared" si="23"/>
        <v>OK</v>
      </c>
    </row>
    <row r="364" spans="1:15" x14ac:dyDescent="0.2">
      <c r="A364">
        <f>Customers_0!A364</f>
        <v>20922</v>
      </c>
      <c r="B364" t="str">
        <f>IFERROR(MID(Customers_0!B364,1,SEARCH(",",Customers_0!B364)-1),Customers_0!B364)</f>
        <v>K. Leschke/ Lakatos</v>
      </c>
      <c r="C364" t="str">
        <f t="shared" si="20"/>
        <v/>
      </c>
      <c r="D364" t="str">
        <f t="shared" si="21"/>
        <v/>
      </c>
      <c r="E364" t="str">
        <f t="shared" si="22"/>
        <v>K. Leschke/ Lakatos</v>
      </c>
      <c r="N364" t="str">
        <f>IF(OR(ISNUMBER(SEARCH("weg",[1]Tabelle1!C364&amp;Customers_0!D364)),
          ISNUMBER(SEARCH("gekündigt",Customers_0!C364&amp;Customers_0!D364)),
          ISNUMBER(SEARCH("rente",LOWER(Customers_0!C364&amp;Customers_0!D364)))),
   "INACTIVE",
   "ACTIVE")</f>
        <v>ACTIVE</v>
      </c>
      <c r="O364" t="str">
        <f t="shared" si="23"/>
        <v>PRÜFEN</v>
      </c>
    </row>
    <row r="365" spans="1:15" x14ac:dyDescent="0.2">
      <c r="A365">
        <f>Customers_0!A365</f>
        <v>20923</v>
      </c>
      <c r="B365" t="str">
        <f>IFERROR(MID(Customers_0!B365,1,SEARCH(",",Customers_0!B365)-1),Customers_0!B365)</f>
        <v>Dr.Oberfranz</v>
      </c>
      <c r="C365" t="str">
        <f t="shared" si="20"/>
        <v/>
      </c>
      <c r="D365" t="str">
        <f t="shared" si="21"/>
        <v/>
      </c>
      <c r="E365" t="str">
        <f t="shared" si="22"/>
        <v>Dr.Oberfranz</v>
      </c>
      <c r="N365" t="str">
        <f>IF(OR(ISNUMBER(SEARCH("weg",[1]Tabelle1!C365&amp;Customers_0!D365)),
          ISNUMBER(SEARCH("gekündigt",Customers_0!C365&amp;Customers_0!D365)),
          ISNUMBER(SEARCH("rente",LOWER(Customers_0!C365&amp;Customers_0!D365)))),
   "INACTIVE",
   "ACTIVE")</f>
        <v>ACTIVE</v>
      </c>
      <c r="O365" t="str">
        <f t="shared" si="23"/>
        <v>OK</v>
      </c>
    </row>
    <row r="366" spans="1:15" x14ac:dyDescent="0.2">
      <c r="A366">
        <f>Customers_0!A366</f>
        <v>20924</v>
      </c>
      <c r="B366" t="str">
        <f>IFERROR(MID(Customers_0!B366,1,SEARCH(",",Customers_0!B366)-1),Customers_0!B366)</f>
        <v>Dr.de Vleeschauwer</v>
      </c>
      <c r="C366" t="str">
        <f t="shared" si="20"/>
        <v>Dr.de</v>
      </c>
      <c r="D366" t="str">
        <f t="shared" si="21"/>
        <v/>
      </c>
      <c r="E366" t="str">
        <f t="shared" si="22"/>
        <v>Vleeschauwer</v>
      </c>
      <c r="N366" t="str">
        <f>IF(OR(ISNUMBER(SEARCH("weg",[1]Tabelle1!C366&amp;Customers_0!D366)),
          ISNUMBER(SEARCH("gekündigt",Customers_0!C366&amp;Customers_0!D366)),
          ISNUMBER(SEARCH("rente",LOWER(Customers_0!C366&amp;Customers_0!D366)))),
   "INACTIVE",
   "ACTIVE")</f>
        <v>ACTIVE</v>
      </c>
      <c r="O366" t="str">
        <f t="shared" si="23"/>
        <v>OK</v>
      </c>
    </row>
    <row r="367" spans="1:15" x14ac:dyDescent="0.2">
      <c r="A367">
        <f>Customers_0!A367</f>
        <v>20925</v>
      </c>
      <c r="B367" t="str">
        <f>IFERROR(MID(Customers_0!B367,1,SEARCH(",",Customers_0!B367)-1),Customers_0!B367)</f>
        <v>N. Kurz</v>
      </c>
      <c r="C367" t="str">
        <f t="shared" si="20"/>
        <v/>
      </c>
      <c r="D367" t="str">
        <f t="shared" si="21"/>
        <v/>
      </c>
      <c r="E367" t="str">
        <f t="shared" si="22"/>
        <v>N. Kurz</v>
      </c>
      <c r="N367" t="str">
        <f>IF(OR(ISNUMBER(SEARCH("weg",[1]Tabelle1!C367&amp;Customers_0!D367)),
          ISNUMBER(SEARCH("gekündigt",Customers_0!C367&amp;Customers_0!D367)),
          ISNUMBER(SEARCH("rente",LOWER(Customers_0!C367&amp;Customers_0!D367)))),
   "INACTIVE",
   "ACTIVE")</f>
        <v>INACTIVE</v>
      </c>
      <c r="O367" t="str">
        <f t="shared" si="23"/>
        <v>OK</v>
      </c>
    </row>
    <row r="368" spans="1:15" x14ac:dyDescent="0.2">
      <c r="A368">
        <f>Customers_0!A368</f>
        <v>20926</v>
      </c>
      <c r="B368" t="str">
        <f>IFERROR(MID(Customers_0!B368,1,SEARCH(",",Customers_0!B368)-1),Customers_0!B368)</f>
        <v>Kempe/ Stemler</v>
      </c>
      <c r="C368" t="str">
        <f t="shared" si="20"/>
        <v/>
      </c>
      <c r="D368" t="str">
        <f t="shared" si="21"/>
        <v/>
      </c>
      <c r="E368" t="str">
        <f t="shared" si="22"/>
        <v>Kempe/ Stemler</v>
      </c>
      <c r="N368" t="str">
        <f>IF(OR(ISNUMBER(SEARCH("weg",[1]Tabelle1!C368&amp;Customers_0!D368)),
          ISNUMBER(SEARCH("gekündigt",Customers_0!C368&amp;Customers_0!D368)),
          ISNUMBER(SEARCH("rente",LOWER(Customers_0!C368&amp;Customers_0!D368)))),
   "INACTIVE",
   "ACTIVE")</f>
        <v>ACTIVE</v>
      </c>
      <c r="O368" t="str">
        <f t="shared" si="23"/>
        <v>PRÜFEN</v>
      </c>
    </row>
    <row r="369" spans="1:15" x14ac:dyDescent="0.2">
      <c r="A369">
        <f>Customers_0!A369</f>
        <v>20927</v>
      </c>
      <c r="B369" t="str">
        <f>IFERROR(MID(Customers_0!B369,1,SEARCH(",",Customers_0!B369)-1),Customers_0!B369)</f>
        <v>Dr.Wunderlich</v>
      </c>
      <c r="C369" t="str">
        <f t="shared" si="20"/>
        <v/>
      </c>
      <c r="D369" t="str">
        <f t="shared" si="21"/>
        <v/>
      </c>
      <c r="E369" t="str">
        <f t="shared" si="22"/>
        <v>Dr.Wunderlich</v>
      </c>
      <c r="N369" t="str">
        <f>IF(OR(ISNUMBER(SEARCH("weg",[1]Tabelle1!C369&amp;Customers_0!D369)),
          ISNUMBER(SEARCH("gekündigt",Customers_0!C369&amp;Customers_0!D369)),
          ISNUMBER(SEARCH("rente",LOWER(Customers_0!C369&amp;Customers_0!D369)))),
   "INACTIVE",
   "ACTIVE")</f>
        <v>INACTIVE</v>
      </c>
      <c r="O369" t="str">
        <f t="shared" si="23"/>
        <v>OK</v>
      </c>
    </row>
    <row r="370" spans="1:15" x14ac:dyDescent="0.2">
      <c r="A370">
        <f>Customers_0!A370</f>
        <v>20928</v>
      </c>
      <c r="B370" t="str">
        <f>IFERROR(MID(Customers_0!B370,1,SEARCH(",",Customers_0!B370)-1),Customers_0!B370)</f>
        <v>Steuer Kern</v>
      </c>
      <c r="C370" t="str">
        <f t="shared" si="20"/>
        <v/>
      </c>
      <c r="D370" t="str">
        <f t="shared" si="21"/>
        <v/>
      </c>
      <c r="E370" t="str">
        <f t="shared" si="22"/>
        <v>Steuer Kern</v>
      </c>
      <c r="N370" t="str">
        <f>IF(OR(ISNUMBER(SEARCH("weg",[1]Tabelle1!C370&amp;Customers_0!D370)),
          ISNUMBER(SEARCH("gekündigt",Customers_0!C370&amp;Customers_0!D370)),
          ISNUMBER(SEARCH("rente",LOWER(Customers_0!C370&amp;Customers_0!D370)))),
   "INACTIVE",
   "ACTIVE")</f>
        <v>INACTIVE</v>
      </c>
      <c r="O370" t="str">
        <f t="shared" si="23"/>
        <v>OK</v>
      </c>
    </row>
    <row r="371" spans="1:15" x14ac:dyDescent="0.2">
      <c r="A371">
        <f>Customers_0!A371</f>
        <v>20929</v>
      </c>
      <c r="B371" t="str">
        <f>IFERROR(MID(Customers_0!B371,1,SEARCH(",",Customers_0!B371)-1),Customers_0!B371)</f>
        <v>Nuber-Sailer</v>
      </c>
      <c r="C371" t="str">
        <f t="shared" si="20"/>
        <v/>
      </c>
      <c r="D371" t="str">
        <f t="shared" si="21"/>
        <v/>
      </c>
      <c r="E371" t="str">
        <f t="shared" si="22"/>
        <v>Nuber-Sailer</v>
      </c>
      <c r="N371" t="str">
        <f>IF(OR(ISNUMBER(SEARCH("weg",[1]Tabelle1!C371&amp;Customers_0!D371)),
          ISNUMBER(SEARCH("gekündigt",Customers_0!C371&amp;Customers_0!D371)),
          ISNUMBER(SEARCH("rente",LOWER(Customers_0!C371&amp;Customers_0!D371)))),
   "INACTIVE",
   "ACTIVE")</f>
        <v>ACTIVE</v>
      </c>
      <c r="O371" t="str">
        <f t="shared" si="23"/>
        <v>PRÜFEN</v>
      </c>
    </row>
    <row r="372" spans="1:15" x14ac:dyDescent="0.2">
      <c r="A372">
        <f>Customers_0!A372</f>
        <v>20930</v>
      </c>
      <c r="B372" t="str">
        <f>IFERROR(MID(Customers_0!B372,1,SEARCH(",",Customers_0!B372)-1),Customers_0!B372)</f>
        <v>Augenz.Kraichgau</v>
      </c>
      <c r="C372" t="str">
        <f t="shared" si="20"/>
        <v/>
      </c>
      <c r="D372" t="str">
        <f t="shared" si="21"/>
        <v/>
      </c>
      <c r="E372" t="str">
        <f t="shared" si="22"/>
        <v>Augenz.Kraichgau</v>
      </c>
      <c r="N372" t="str">
        <f>IF(OR(ISNUMBER(SEARCH("weg",[1]Tabelle1!C372&amp;Customers_0!D372)),
          ISNUMBER(SEARCH("gekündigt",Customers_0!C372&amp;Customers_0!D372)),
          ISNUMBER(SEARCH("rente",LOWER(Customers_0!C372&amp;Customers_0!D372)))),
   "INACTIVE",
   "ACTIVE")</f>
        <v>ACTIVE</v>
      </c>
      <c r="O372" t="str">
        <f t="shared" si="23"/>
        <v>OK</v>
      </c>
    </row>
    <row r="373" spans="1:15" x14ac:dyDescent="0.2">
      <c r="A373">
        <f>Customers_0!A373</f>
        <v>20931</v>
      </c>
      <c r="B373" t="str">
        <f>IFERROR(MID(Customers_0!B373,1,SEARCH(",",Customers_0!B373)-1),Customers_0!B373)</f>
        <v xml:space="preserve">Dr. Hesse </v>
      </c>
      <c r="C373" t="str">
        <f t="shared" si="20"/>
        <v>Dr.</v>
      </c>
      <c r="D373" t="str">
        <f t="shared" si="21"/>
        <v/>
      </c>
      <c r="E373" t="str">
        <f t="shared" si="22"/>
        <v>Hesse</v>
      </c>
      <c r="N373" t="str">
        <f>IF(OR(ISNUMBER(SEARCH("weg",[1]Tabelle1!C373&amp;Customers_0!D373)),
          ISNUMBER(SEARCH("gekündigt",Customers_0!C373&amp;Customers_0!D373)),
          ISNUMBER(SEARCH("rente",LOWER(Customers_0!C373&amp;Customers_0!D373)))),
   "INACTIVE",
   "ACTIVE")</f>
        <v>ACTIVE</v>
      </c>
      <c r="O373" t="str">
        <f t="shared" si="23"/>
        <v>OK</v>
      </c>
    </row>
    <row r="374" spans="1:15" x14ac:dyDescent="0.2">
      <c r="A374">
        <f>Customers_0!A374</f>
        <v>20932</v>
      </c>
      <c r="B374" t="str">
        <f>IFERROR(MID(Customers_0!B374,1,SEARCH(",",Customers_0!B374)-1),Customers_0!B374)</f>
        <v xml:space="preserve">J. Werz </v>
      </c>
      <c r="C374" t="str">
        <f t="shared" si="20"/>
        <v/>
      </c>
      <c r="D374" t="str">
        <f t="shared" si="21"/>
        <v/>
      </c>
      <c r="E374" t="str">
        <f t="shared" si="22"/>
        <v>J. Werz</v>
      </c>
      <c r="N374" t="str">
        <f>IF(OR(ISNUMBER(SEARCH("weg",[1]Tabelle1!C374&amp;Customers_0!D374)),
          ISNUMBER(SEARCH("gekündigt",Customers_0!C374&amp;Customers_0!D374)),
          ISNUMBER(SEARCH("rente",LOWER(Customers_0!C374&amp;Customers_0!D374)))),
   "INACTIVE",
   "ACTIVE")</f>
        <v>ACTIVE</v>
      </c>
      <c r="O374" t="str">
        <f t="shared" si="23"/>
        <v>OK</v>
      </c>
    </row>
    <row r="375" spans="1:15" x14ac:dyDescent="0.2">
      <c r="A375">
        <f>Customers_0!A375</f>
        <v>20933</v>
      </c>
      <c r="B375" t="str">
        <f>IFERROR(MID(Customers_0!B375,1,SEARCH(",",Customers_0!B375)-1),Customers_0!B375)</f>
        <v>Kardio Dr.Stroh</v>
      </c>
      <c r="C375" t="str">
        <f t="shared" si="20"/>
        <v/>
      </c>
      <c r="D375" t="str">
        <f t="shared" si="21"/>
        <v/>
      </c>
      <c r="E375" t="str">
        <f t="shared" si="22"/>
        <v>Kardio Dr.Stroh</v>
      </c>
      <c r="N375" t="str">
        <f>IF(OR(ISNUMBER(SEARCH("weg",[1]Tabelle1!C375&amp;Customers_0!D375)),
          ISNUMBER(SEARCH("gekündigt",Customers_0!C375&amp;Customers_0!D375)),
          ISNUMBER(SEARCH("rente",LOWER(Customers_0!C375&amp;Customers_0!D375)))),
   "INACTIVE",
   "ACTIVE")</f>
        <v>ACTIVE</v>
      </c>
      <c r="O375" t="str">
        <f t="shared" si="23"/>
        <v>OK</v>
      </c>
    </row>
    <row r="376" spans="1:15" x14ac:dyDescent="0.2">
      <c r="A376">
        <f>Customers_0!A376</f>
        <v>20934</v>
      </c>
      <c r="B376" t="str">
        <f>IFERROR(MID(Customers_0!B376,1,SEARCH(",",Customers_0!B376)-1),Customers_0!B376)</f>
        <v>Be Active</v>
      </c>
      <c r="C376" t="str">
        <f t="shared" si="20"/>
        <v/>
      </c>
      <c r="D376" t="str">
        <f t="shared" si="21"/>
        <v/>
      </c>
      <c r="E376" t="str">
        <f t="shared" si="22"/>
        <v>Be Active</v>
      </c>
      <c r="N376" t="str">
        <f>IF(OR(ISNUMBER(SEARCH("weg",[1]Tabelle1!C376&amp;Customers_0!D376)),
          ISNUMBER(SEARCH("gekündigt",Customers_0!C376&amp;Customers_0!D376)),
          ISNUMBER(SEARCH("rente",LOWER(Customers_0!C376&amp;Customers_0!D376)))),
   "INACTIVE",
   "ACTIVE")</f>
        <v>ACTIVE</v>
      </c>
      <c r="O376" t="str">
        <f t="shared" si="23"/>
        <v>OK</v>
      </c>
    </row>
    <row r="377" spans="1:15" x14ac:dyDescent="0.2">
      <c r="A377">
        <f>Customers_0!A377</f>
        <v>20935</v>
      </c>
      <c r="B377" t="str">
        <f>IFERROR(MID(Customers_0!B377,1,SEARCH(",",Customers_0!B377)-1),Customers_0!B377)</f>
        <v>Nuber-Sailer Kosm.Ochs</v>
      </c>
      <c r="C377" t="str">
        <f t="shared" si="20"/>
        <v/>
      </c>
      <c r="D377" t="str">
        <f t="shared" si="21"/>
        <v/>
      </c>
      <c r="E377" t="str">
        <f t="shared" si="22"/>
        <v>Nuber-Sailer Kosm.Ochs</v>
      </c>
      <c r="N377" t="str">
        <f>IF(OR(ISNUMBER(SEARCH("weg",[1]Tabelle1!C377&amp;Customers_0!D377)),
          ISNUMBER(SEARCH("gekündigt",Customers_0!C377&amp;Customers_0!D377)),
          ISNUMBER(SEARCH("rente",LOWER(Customers_0!C377&amp;Customers_0!D377)))),
   "INACTIVE",
   "ACTIVE")</f>
        <v>ACTIVE</v>
      </c>
      <c r="O377" t="str">
        <f t="shared" si="23"/>
        <v>PRÜFEN</v>
      </c>
    </row>
    <row r="378" spans="1:15" x14ac:dyDescent="0.2">
      <c r="A378">
        <f>Customers_0!A378</f>
        <v>20936</v>
      </c>
      <c r="B378" t="str">
        <f>IFERROR(MID(Customers_0!B378,1,SEARCH(",",Customers_0!B378)-1),Customers_0!B378)</f>
        <v>Dr. Boetticher</v>
      </c>
      <c r="C378" t="str">
        <f t="shared" si="20"/>
        <v>Dr.</v>
      </c>
      <c r="D378" t="str">
        <f t="shared" si="21"/>
        <v/>
      </c>
      <c r="E378" t="str">
        <f t="shared" si="22"/>
        <v>Boetticher</v>
      </c>
      <c r="N378" t="str">
        <f>IF(OR(ISNUMBER(SEARCH("weg",[1]Tabelle1!C378&amp;Customers_0!D378)),
          ISNUMBER(SEARCH("gekündigt",Customers_0!C378&amp;Customers_0!D378)),
          ISNUMBER(SEARCH("rente",LOWER(Customers_0!C378&amp;Customers_0!D378)))),
   "INACTIVE",
   "ACTIVE")</f>
        <v>ACTIVE</v>
      </c>
      <c r="O378" t="str">
        <f t="shared" si="23"/>
        <v>OK</v>
      </c>
    </row>
    <row r="379" spans="1:15" x14ac:dyDescent="0.2">
      <c r="A379">
        <f>Customers_0!A379</f>
        <v>20937</v>
      </c>
      <c r="B379" t="str">
        <f>IFERROR(MID(Customers_0!B379,1,SEARCH(",",Customers_0!B379)-1),Customers_0!B379)</f>
        <v>Dr. Wehner</v>
      </c>
      <c r="C379" t="str">
        <f t="shared" si="20"/>
        <v>Dr.</v>
      </c>
      <c r="D379" t="str">
        <f t="shared" si="21"/>
        <v/>
      </c>
      <c r="E379" t="str">
        <f t="shared" si="22"/>
        <v>Wehner</v>
      </c>
      <c r="N379" t="str">
        <f>IF(OR(ISNUMBER(SEARCH("weg",[1]Tabelle1!C379&amp;Customers_0!D379)),
          ISNUMBER(SEARCH("gekündigt",Customers_0!C379&amp;Customers_0!D379)),
          ISNUMBER(SEARCH("rente",LOWER(Customers_0!C379&amp;Customers_0!D379)))),
   "INACTIVE",
   "ACTIVE")</f>
        <v>ACTIVE</v>
      </c>
      <c r="O379" t="str">
        <f t="shared" si="23"/>
        <v>OK</v>
      </c>
    </row>
    <row r="380" spans="1:15" x14ac:dyDescent="0.2">
      <c r="A380">
        <f>Customers_0!A380</f>
        <v>20938</v>
      </c>
      <c r="B380" t="str">
        <f>IFERROR(MID(Customers_0!B380,1,SEARCH(",",Customers_0!B380)-1),Customers_0!B380)</f>
        <v>Buderer MVZ</v>
      </c>
      <c r="C380" t="str">
        <f t="shared" si="20"/>
        <v/>
      </c>
      <c r="D380" t="str">
        <f t="shared" si="21"/>
        <v/>
      </c>
      <c r="E380" t="str">
        <f t="shared" si="22"/>
        <v>Buderer MVZ</v>
      </c>
      <c r="N380" t="str">
        <f>IF(OR(ISNUMBER(SEARCH("weg",[1]Tabelle1!C380&amp;Customers_0!D380)),
          ISNUMBER(SEARCH("gekündigt",Customers_0!C380&amp;Customers_0!D380)),
          ISNUMBER(SEARCH("rente",LOWER(Customers_0!C380&amp;Customers_0!D380)))),
   "INACTIVE",
   "ACTIVE")</f>
        <v>ACTIVE</v>
      </c>
      <c r="O380" t="str">
        <f t="shared" si="23"/>
        <v>OK</v>
      </c>
    </row>
    <row r="381" spans="1:15" x14ac:dyDescent="0.2">
      <c r="A381">
        <f>Customers_0!A381</f>
        <v>20939</v>
      </c>
      <c r="B381" t="str">
        <f>IFERROR(MID(Customers_0!B381,1,SEARCH(",",Customers_0!B381)-1),Customers_0!B381)</f>
        <v>Dr. Zocher</v>
      </c>
      <c r="C381" t="str">
        <f t="shared" si="20"/>
        <v>Dr.</v>
      </c>
      <c r="D381" t="str">
        <f t="shared" si="21"/>
        <v/>
      </c>
      <c r="E381" t="str">
        <f t="shared" si="22"/>
        <v>Zocher</v>
      </c>
      <c r="N381" t="str">
        <f>IF(OR(ISNUMBER(SEARCH("weg",[1]Tabelle1!C381&amp;Customers_0!D381)),
          ISNUMBER(SEARCH("gekündigt",Customers_0!C381&amp;Customers_0!D381)),
          ISNUMBER(SEARCH("rente",LOWER(Customers_0!C381&amp;Customers_0!D381)))),
   "INACTIVE",
   "ACTIVE")</f>
        <v>ACTIVE</v>
      </c>
      <c r="O381" t="str">
        <f t="shared" si="23"/>
        <v>OK</v>
      </c>
    </row>
    <row r="382" spans="1:15" x14ac:dyDescent="0.2">
      <c r="A382">
        <f>Customers_0!A382</f>
        <v>20940</v>
      </c>
      <c r="B382" t="str">
        <f>IFERROR(MID(Customers_0!B382,1,SEARCH(",",Customers_0!B382)-1),Customers_0!B382)</f>
        <v>Uwe Hinz</v>
      </c>
      <c r="C382" t="str">
        <f t="shared" si="20"/>
        <v/>
      </c>
      <c r="D382" t="str">
        <f t="shared" si="21"/>
        <v/>
      </c>
      <c r="E382" t="str">
        <f t="shared" si="22"/>
        <v>Uwe Hinz</v>
      </c>
      <c r="N382" t="str">
        <f>IF(OR(ISNUMBER(SEARCH("weg",[1]Tabelle1!C382&amp;Customers_0!D382)),
          ISNUMBER(SEARCH("gekündigt",Customers_0!C382&amp;Customers_0!D382)),
          ISNUMBER(SEARCH("rente",LOWER(Customers_0!C382&amp;Customers_0!D382)))),
   "INACTIVE",
   "ACTIVE")</f>
        <v>ACTIVE</v>
      </c>
      <c r="O382" t="str">
        <f t="shared" si="23"/>
        <v>OK</v>
      </c>
    </row>
    <row r="383" spans="1:15" x14ac:dyDescent="0.2">
      <c r="A383">
        <f>Customers_0!A383</f>
        <v>20941</v>
      </c>
      <c r="B383" t="str">
        <f>IFERROR(MID(Customers_0!B383,1,SEARCH(",",Customers_0!B383)-1),Customers_0!B383)</f>
        <v>Manfred Schraeder</v>
      </c>
      <c r="C383" t="str">
        <f t="shared" si="20"/>
        <v/>
      </c>
      <c r="D383" t="str">
        <f t="shared" si="21"/>
        <v/>
      </c>
      <c r="E383" t="str">
        <f t="shared" si="22"/>
        <v>Manfred Schraeder</v>
      </c>
      <c r="N383" t="str">
        <f>IF(OR(ISNUMBER(SEARCH("weg",[1]Tabelle1!C383&amp;Customers_0!D383)),
          ISNUMBER(SEARCH("gekündigt",Customers_0!C383&amp;Customers_0!D383)),
          ISNUMBER(SEARCH("rente",LOWER(Customers_0!C383&amp;Customers_0!D383)))),
   "INACTIVE",
   "ACTIVE")</f>
        <v>ACTIVE</v>
      </c>
      <c r="O383" t="str">
        <f t="shared" si="23"/>
        <v>OK</v>
      </c>
    </row>
    <row r="384" spans="1:15" x14ac:dyDescent="0.2">
      <c r="A384">
        <f>Customers_0!A384</f>
        <v>20942</v>
      </c>
      <c r="B384" t="str">
        <f>IFERROR(MID(Customers_0!B384,1,SEARCH(",",Customers_0!B384)-1),Customers_0!B384)</f>
        <v>Institut Bergatreute</v>
      </c>
      <c r="C384" t="str">
        <f t="shared" si="20"/>
        <v/>
      </c>
      <c r="D384" t="str">
        <f t="shared" si="21"/>
        <v/>
      </c>
      <c r="E384" t="str">
        <f t="shared" si="22"/>
        <v>Institut Bergatreute</v>
      </c>
      <c r="N384" t="str">
        <f>IF(OR(ISNUMBER(SEARCH("weg",[1]Tabelle1!C384&amp;Customers_0!D384)),
          ISNUMBER(SEARCH("gekündigt",Customers_0!C384&amp;Customers_0!D384)),
          ISNUMBER(SEARCH("rente",LOWER(Customers_0!C384&amp;Customers_0!D384)))),
   "INACTIVE",
   "ACTIVE")</f>
        <v>ACTIVE</v>
      </c>
      <c r="O384" t="str">
        <f t="shared" si="23"/>
        <v>OK</v>
      </c>
    </row>
    <row r="385" spans="1:15" x14ac:dyDescent="0.2">
      <c r="A385">
        <f>Customers_0!A385</f>
        <v>20943</v>
      </c>
      <c r="B385" t="str">
        <f>IFERROR(MID(Customers_0!B385,1,SEARCH(",",Customers_0!B385)-1),Customers_0!B385)</f>
        <v>J. Bucher</v>
      </c>
      <c r="C385" t="str">
        <f t="shared" si="20"/>
        <v/>
      </c>
      <c r="D385" t="str">
        <f t="shared" si="21"/>
        <v/>
      </c>
      <c r="E385" t="str">
        <f t="shared" si="22"/>
        <v>J. Bucher</v>
      </c>
      <c r="N385" t="str">
        <f>IF(OR(ISNUMBER(SEARCH("weg",[1]Tabelle1!C385&amp;Customers_0!D385)),
          ISNUMBER(SEARCH("gekündigt",Customers_0!C385&amp;Customers_0!D385)),
          ISNUMBER(SEARCH("rente",LOWER(Customers_0!C385&amp;Customers_0!D385)))),
   "INACTIVE",
   "ACTIVE")</f>
        <v>ACTIVE</v>
      </c>
      <c r="O385" t="str">
        <f t="shared" si="23"/>
        <v>OK</v>
      </c>
    </row>
    <row r="386" spans="1:15" x14ac:dyDescent="0.2">
      <c r="A386">
        <f>Customers_0!A386</f>
        <v>20944</v>
      </c>
      <c r="B386" t="str">
        <f>IFERROR(MID(Customers_0!B386,1,SEARCH(",",Customers_0!B386)-1),Customers_0!B386)</f>
        <v>Dr. Kusserow-Napp</v>
      </c>
      <c r="C386" t="str">
        <f t="shared" ref="C386:C449" si="24">IFERROR(
 IF(OR(
   LEFT(B386,3)="Dr.",
   LEFT(B386,2)="Dr",
   LEFT(B386,4)="Dres",
   LEFT(B386,5)="Dres.",
   LEFT(B386,4)="Prof",
   LEFT(B386,5)="Prof.",
   LEFT(B386,3)="PD ",
   LEFT(B386,7)="Priv.-D"
 ),
  LEFT(B386,SEARCH(" ",B386)-1),
  ""
 ),
"")</f>
        <v>Dr.</v>
      </c>
      <c r="D386" t="str">
        <f t="shared" ref="D386:D449" si="25">IFERROR(
 IF(C386="",
  "",
  IF(ISNUMBER(SEARCH(".",MID(B386,LEN(C386)+2,3))),
    MID(B386,LEN(C386)+2,2),
    ""
  )
 ),
"")</f>
        <v/>
      </c>
      <c r="E386" t="str">
        <f t="shared" ref="E386:E449" si="26">IFERROR(
 TRIM(
   IF(C386="",
        IF(ISNUMBER(SEARCH(",",B386)), LEFT(B386,SEARCH(",",B386)-1), B386),
        IF(D386="",
             TRIM(MID(B386, LEN(C386)+2, 999)),
             TRIM(MID(B386, LEN(C386&amp;" "&amp;D386)+2, 999))
        )
   )
 ),
""
)</f>
        <v>Kusserow-Napp</v>
      </c>
      <c r="N386" t="str">
        <f>IF(OR(ISNUMBER(SEARCH("weg",[1]Tabelle1!C386&amp;Customers_0!D386)),
          ISNUMBER(SEARCH("gekündigt",Customers_0!C386&amp;Customers_0!D386)),
          ISNUMBER(SEARCH("rente",LOWER(Customers_0!C386&amp;Customers_0!D386)))),
   "INACTIVE",
   "ACTIVE")</f>
        <v>ACTIVE</v>
      </c>
      <c r="O386" t="str">
        <f t="shared" ref="O386:O449" si="27">IF(OR(
   ISERROR(D386),
   ISERROR(E386),
   ISNUMBER(SEARCH("/",E386)),
   ISNUMBER(SEARCH("-",E386))
 ),"PRÜFEN","OK")</f>
        <v>PRÜFEN</v>
      </c>
    </row>
    <row r="387" spans="1:15" x14ac:dyDescent="0.2">
      <c r="A387">
        <f>Customers_0!A387</f>
        <v>20945</v>
      </c>
      <c r="B387" t="str">
        <f>IFERROR(MID(Customers_0!B387,1,SEARCH(",",Customers_0!B387)-1),Customers_0!B387)</f>
        <v>DLRG Cuxhaven</v>
      </c>
      <c r="C387" t="str">
        <f t="shared" si="24"/>
        <v/>
      </c>
      <c r="D387" t="str">
        <f t="shared" si="25"/>
        <v/>
      </c>
      <c r="E387" t="str">
        <f t="shared" si="26"/>
        <v>DLRG Cuxhaven</v>
      </c>
      <c r="N387" t="str">
        <f>IF(OR(ISNUMBER(SEARCH("weg",[1]Tabelle1!C387&amp;Customers_0!D387)),
          ISNUMBER(SEARCH("gekündigt",Customers_0!C387&amp;Customers_0!D387)),
          ISNUMBER(SEARCH("rente",LOWER(Customers_0!C387&amp;Customers_0!D387)))),
   "INACTIVE",
   "ACTIVE")</f>
        <v>ACTIVE</v>
      </c>
      <c r="O387" t="str">
        <f t="shared" si="27"/>
        <v>OK</v>
      </c>
    </row>
    <row r="388" spans="1:15" x14ac:dyDescent="0.2">
      <c r="A388">
        <f>Customers_0!A388</f>
        <v>20946</v>
      </c>
      <c r="B388" t="str">
        <f>IFERROR(MID(Customers_0!B388,1,SEARCH(",",Customers_0!B388)-1),Customers_0!B388)</f>
        <v>Dr. Glaser</v>
      </c>
      <c r="C388" t="str">
        <f t="shared" si="24"/>
        <v>Dr.</v>
      </c>
      <c r="D388" t="str">
        <f t="shared" si="25"/>
        <v/>
      </c>
      <c r="E388" t="str">
        <f t="shared" si="26"/>
        <v>Glaser</v>
      </c>
      <c r="N388" t="str">
        <f>IF(OR(ISNUMBER(SEARCH("weg",[1]Tabelle1!C388&amp;Customers_0!D388)),
          ISNUMBER(SEARCH("gekündigt",Customers_0!C388&amp;Customers_0!D388)),
          ISNUMBER(SEARCH("rente",LOWER(Customers_0!C388&amp;Customers_0!D388)))),
   "INACTIVE",
   "ACTIVE")</f>
        <v>ACTIVE</v>
      </c>
      <c r="O388" t="str">
        <f t="shared" si="27"/>
        <v>OK</v>
      </c>
    </row>
    <row r="389" spans="1:15" x14ac:dyDescent="0.2">
      <c r="A389">
        <f>Customers_0!A389</f>
        <v>20947</v>
      </c>
      <c r="B389" t="str">
        <f>IFERROR(MID(Customers_0!B389,1,SEARCH(",",Customers_0!B389)-1),Customers_0!B389)</f>
        <v>PD Dr. Friedrich</v>
      </c>
      <c r="C389" t="str">
        <f t="shared" si="24"/>
        <v>PD</v>
      </c>
      <c r="D389" t="str">
        <f t="shared" si="25"/>
        <v>Dr</v>
      </c>
      <c r="E389" t="str">
        <f t="shared" si="26"/>
        <v>Friedrich</v>
      </c>
      <c r="N389" t="str">
        <f>IF(OR(ISNUMBER(SEARCH("weg",[1]Tabelle1!C389&amp;Customers_0!D389)),
          ISNUMBER(SEARCH("gekündigt",Customers_0!C389&amp;Customers_0!D389)),
          ISNUMBER(SEARCH("rente",LOWER(Customers_0!C389&amp;Customers_0!D389)))),
   "INACTIVE",
   "ACTIVE")</f>
        <v>ACTIVE</v>
      </c>
      <c r="O389" t="str">
        <f t="shared" si="27"/>
        <v>OK</v>
      </c>
    </row>
    <row r="390" spans="1:15" x14ac:dyDescent="0.2">
      <c r="A390">
        <f>Customers_0!A390</f>
        <v>20948</v>
      </c>
      <c r="B390" t="str">
        <f>IFERROR(MID(Customers_0!B390,1,SEARCH(",",Customers_0!B390)-1),Customers_0!B390)</f>
        <v>Tannenhof Heim Ulm</v>
      </c>
      <c r="C390" t="str">
        <f t="shared" si="24"/>
        <v/>
      </c>
      <c r="D390" t="str">
        <f t="shared" si="25"/>
        <v/>
      </c>
      <c r="E390" t="str">
        <f t="shared" si="26"/>
        <v>Tannenhof Heim Ulm</v>
      </c>
      <c r="N390" t="str">
        <f>IF(OR(ISNUMBER(SEARCH("weg",[1]Tabelle1!C390&amp;Customers_0!D390)),
          ISNUMBER(SEARCH("gekündigt",Customers_0!C390&amp;Customers_0!D390)),
          ISNUMBER(SEARCH("rente",LOWER(Customers_0!C390&amp;Customers_0!D390)))),
   "INACTIVE",
   "ACTIVE")</f>
        <v>ACTIVE</v>
      </c>
      <c r="O390" t="str">
        <f t="shared" si="27"/>
        <v>OK</v>
      </c>
    </row>
    <row r="391" spans="1:15" x14ac:dyDescent="0.2">
      <c r="A391">
        <f>Customers_0!A391</f>
        <v>20949</v>
      </c>
      <c r="B391" t="str">
        <f>IFERROR(MID(Customers_0!B391,1,SEARCH(",",Customers_0!B391)-1),Customers_0!B391)</f>
        <v>Dr. Potrafke</v>
      </c>
      <c r="C391" t="str">
        <f t="shared" si="24"/>
        <v>Dr.</v>
      </c>
      <c r="D391" t="str">
        <f t="shared" si="25"/>
        <v/>
      </c>
      <c r="E391" t="str">
        <f t="shared" si="26"/>
        <v>Potrafke</v>
      </c>
      <c r="N391" t="str">
        <f>IF(OR(ISNUMBER(SEARCH("weg",[1]Tabelle1!C391&amp;Customers_0!D391)),
          ISNUMBER(SEARCH("gekündigt",Customers_0!C391&amp;Customers_0!D391)),
          ISNUMBER(SEARCH("rente",LOWER(Customers_0!C391&amp;Customers_0!D391)))),
   "INACTIVE",
   "ACTIVE")</f>
        <v>ACTIVE</v>
      </c>
      <c r="O391" t="str">
        <f t="shared" si="27"/>
        <v>OK</v>
      </c>
    </row>
    <row r="392" spans="1:15" x14ac:dyDescent="0.2">
      <c r="A392">
        <f>Customers_0!A392</f>
        <v>20950</v>
      </c>
      <c r="B392" t="str">
        <f>IFERROR(MID(Customers_0!B392,1,SEARCH(",",Customers_0!B392)-1),Customers_0!B392)</f>
        <v>Dr. Haupt</v>
      </c>
      <c r="C392" t="str">
        <f t="shared" si="24"/>
        <v>Dr.</v>
      </c>
      <c r="D392" t="str">
        <f t="shared" si="25"/>
        <v/>
      </c>
      <c r="E392" t="str">
        <f t="shared" si="26"/>
        <v>Haupt</v>
      </c>
      <c r="N392" t="str">
        <f>IF(OR(ISNUMBER(SEARCH("weg",[1]Tabelle1!C392&amp;Customers_0!D392)),
          ISNUMBER(SEARCH("gekündigt",Customers_0!C392&amp;Customers_0!D392)),
          ISNUMBER(SEARCH("rente",LOWER(Customers_0!C392&amp;Customers_0!D392)))),
   "INACTIVE",
   "ACTIVE")</f>
        <v>ACTIVE</v>
      </c>
      <c r="O392" t="str">
        <f t="shared" si="27"/>
        <v>OK</v>
      </c>
    </row>
    <row r="393" spans="1:15" x14ac:dyDescent="0.2">
      <c r="A393">
        <f>Customers_0!A393</f>
        <v>20951</v>
      </c>
      <c r="B393" t="str">
        <f>IFERROR(MID(Customers_0!B393,1,SEARCH(",",Customers_0!B393)-1),Customers_0!B393)</f>
        <v>Drs.Wagner/ Glätzer</v>
      </c>
      <c r="C393" t="str">
        <f t="shared" si="24"/>
        <v>Drs.Wagner/</v>
      </c>
      <c r="D393" t="str">
        <f t="shared" si="25"/>
        <v/>
      </c>
      <c r="E393" t="str">
        <f t="shared" si="26"/>
        <v>Glätzer</v>
      </c>
      <c r="N393" t="str">
        <f>IF(OR(ISNUMBER(SEARCH("weg",[1]Tabelle1!C393&amp;Customers_0!D393)),
          ISNUMBER(SEARCH("gekündigt",Customers_0!C393&amp;Customers_0!D393)),
          ISNUMBER(SEARCH("rente",LOWER(Customers_0!C393&amp;Customers_0!D393)))),
   "INACTIVE",
   "ACTIVE")</f>
        <v>INACTIVE</v>
      </c>
      <c r="O393" t="str">
        <f t="shared" si="27"/>
        <v>OK</v>
      </c>
    </row>
    <row r="394" spans="1:15" x14ac:dyDescent="0.2">
      <c r="A394">
        <f>Customers_0!A394</f>
        <v>20952</v>
      </c>
      <c r="B394" t="str">
        <f>IFERROR(MID(Customers_0!B394,1,SEARCH(",",Customers_0!B394)-1),Customers_0!B394)</f>
        <v>Dr. Ritter</v>
      </c>
      <c r="C394" t="str">
        <f t="shared" si="24"/>
        <v>Dr.</v>
      </c>
      <c r="D394" t="str">
        <f t="shared" si="25"/>
        <v/>
      </c>
      <c r="E394" t="str">
        <f t="shared" si="26"/>
        <v>Ritter</v>
      </c>
      <c r="N394" t="str">
        <f>IF(OR(ISNUMBER(SEARCH("weg",[1]Tabelle1!C394&amp;Customers_0!D394)),
          ISNUMBER(SEARCH("gekündigt",Customers_0!C394&amp;Customers_0!D394)),
          ISNUMBER(SEARCH("rente",LOWER(Customers_0!C394&amp;Customers_0!D394)))),
   "INACTIVE",
   "ACTIVE")</f>
        <v>ACTIVE</v>
      </c>
      <c r="O394" t="str">
        <f t="shared" si="27"/>
        <v>OK</v>
      </c>
    </row>
    <row r="395" spans="1:15" x14ac:dyDescent="0.2">
      <c r="A395">
        <f>Customers_0!A395</f>
        <v>20953</v>
      </c>
      <c r="B395" t="str">
        <f>IFERROR(MID(Customers_0!B395,1,SEARCH(",",Customers_0!B395)-1),Customers_0!B395)</f>
        <v>Bodensee-Sportklinik</v>
      </c>
      <c r="C395" t="str">
        <f t="shared" si="24"/>
        <v/>
      </c>
      <c r="D395" t="str">
        <f t="shared" si="25"/>
        <v/>
      </c>
      <c r="E395" t="str">
        <f t="shared" si="26"/>
        <v>Bodensee-Sportklinik</v>
      </c>
      <c r="N395" t="str">
        <f>IF(OR(ISNUMBER(SEARCH("weg",[1]Tabelle1!C395&amp;Customers_0!D395)),
          ISNUMBER(SEARCH("gekündigt",Customers_0!C395&amp;Customers_0!D395)),
          ISNUMBER(SEARCH("rente",LOWER(Customers_0!C395&amp;Customers_0!D395)))),
   "INACTIVE",
   "ACTIVE")</f>
        <v>ACTIVE</v>
      </c>
      <c r="O395" t="str">
        <f t="shared" si="27"/>
        <v>PRÜFEN</v>
      </c>
    </row>
    <row r="396" spans="1:15" x14ac:dyDescent="0.2">
      <c r="A396">
        <f>Customers_0!A396</f>
        <v>20954</v>
      </c>
      <c r="B396" t="str">
        <f>IFERROR(MID(Customers_0!B396,1,SEARCH(",",Customers_0!B396)-1),Customers_0!B396)</f>
        <v>Physiotherapie Diesch</v>
      </c>
      <c r="C396" t="str">
        <f t="shared" si="24"/>
        <v/>
      </c>
      <c r="D396" t="str">
        <f t="shared" si="25"/>
        <v/>
      </c>
      <c r="E396" t="str">
        <f t="shared" si="26"/>
        <v>Physiotherapie Diesch</v>
      </c>
      <c r="N396" t="str">
        <f>IF(OR(ISNUMBER(SEARCH("weg",[1]Tabelle1!C396&amp;Customers_0!D396)),
          ISNUMBER(SEARCH("gekündigt",Customers_0!C396&amp;Customers_0!D396)),
          ISNUMBER(SEARCH("rente",LOWER(Customers_0!C396&amp;Customers_0!D396)))),
   "INACTIVE",
   "ACTIVE")</f>
        <v>ACTIVE</v>
      </c>
      <c r="O396" t="str">
        <f t="shared" si="27"/>
        <v>OK</v>
      </c>
    </row>
    <row r="397" spans="1:15" x14ac:dyDescent="0.2">
      <c r="A397">
        <f>Customers_0!A397</f>
        <v>20955</v>
      </c>
      <c r="B397" t="str">
        <f>IFERROR(MID(Customers_0!B397,1,SEARCH(",",Customers_0!B397)-1),Customers_0!B397)</f>
        <v>Dr. Abel</v>
      </c>
      <c r="C397" t="str">
        <f t="shared" si="24"/>
        <v>Dr.</v>
      </c>
      <c r="D397" t="str">
        <f t="shared" si="25"/>
        <v/>
      </c>
      <c r="E397" t="str">
        <f t="shared" si="26"/>
        <v>Abel</v>
      </c>
      <c r="N397" t="str">
        <f>IF(OR(ISNUMBER(SEARCH("weg",[1]Tabelle1!C397&amp;Customers_0!D397)),
          ISNUMBER(SEARCH("gekündigt",Customers_0!C397&amp;Customers_0!D397)),
          ISNUMBER(SEARCH("rente",LOWER(Customers_0!C397&amp;Customers_0!D397)))),
   "INACTIVE",
   "ACTIVE")</f>
        <v>ACTIVE</v>
      </c>
      <c r="O397" t="str">
        <f t="shared" si="27"/>
        <v>OK</v>
      </c>
    </row>
    <row r="398" spans="1:15" x14ac:dyDescent="0.2">
      <c r="A398">
        <f>Customers_0!A398</f>
        <v>20956</v>
      </c>
      <c r="B398" t="str">
        <f>IFERROR(MID(Customers_0!B398,1,SEARCH(",",Customers_0!B398)-1),Customers_0!B398)</f>
        <v>Dr. Thiele</v>
      </c>
      <c r="C398" t="str">
        <f t="shared" si="24"/>
        <v>Dr.</v>
      </c>
      <c r="D398" t="str">
        <f t="shared" si="25"/>
        <v/>
      </c>
      <c r="E398" t="str">
        <f t="shared" si="26"/>
        <v>Thiele</v>
      </c>
      <c r="N398" t="str">
        <f>IF(OR(ISNUMBER(SEARCH("weg",[1]Tabelle1!C398&amp;Customers_0!D398)),
          ISNUMBER(SEARCH("gekündigt",Customers_0!C398&amp;Customers_0!D398)),
          ISNUMBER(SEARCH("rente",LOWER(Customers_0!C398&amp;Customers_0!D398)))),
   "INACTIVE",
   "ACTIVE")</f>
        <v>ACTIVE</v>
      </c>
      <c r="O398" t="str">
        <f t="shared" si="27"/>
        <v>OK</v>
      </c>
    </row>
    <row r="399" spans="1:15" x14ac:dyDescent="0.2">
      <c r="A399">
        <f>Customers_0!A399</f>
        <v>20957</v>
      </c>
      <c r="B399" t="str">
        <f>IFERROR(MID(Customers_0!B399,1,SEARCH(",",Customers_0!B399)-1),Customers_0!B399)</f>
        <v>C.Steinfatt</v>
      </c>
      <c r="C399" t="str">
        <f t="shared" si="24"/>
        <v/>
      </c>
      <c r="D399" t="str">
        <f t="shared" si="25"/>
        <v/>
      </c>
      <c r="E399" t="str">
        <f t="shared" si="26"/>
        <v>C.Steinfatt</v>
      </c>
      <c r="N399" t="str">
        <f>IF(OR(ISNUMBER(SEARCH("weg",[1]Tabelle1!C399&amp;Customers_0!D399)),
          ISNUMBER(SEARCH("gekündigt",Customers_0!C399&amp;Customers_0!D399)),
          ISNUMBER(SEARCH("rente",LOWER(Customers_0!C399&amp;Customers_0!D399)))),
   "INACTIVE",
   "ACTIVE")</f>
        <v>ACTIVE</v>
      </c>
      <c r="O399" t="str">
        <f t="shared" si="27"/>
        <v>OK</v>
      </c>
    </row>
    <row r="400" spans="1:15" x14ac:dyDescent="0.2">
      <c r="A400">
        <f>Customers_0!A400</f>
        <v>20958</v>
      </c>
      <c r="B400" t="str">
        <f>IFERROR(MID(Customers_0!B400,1,SEARCH(",",Customers_0!B400)-1),Customers_0!B400)</f>
        <v>Dr. Kilzer</v>
      </c>
      <c r="C400" t="str">
        <f t="shared" si="24"/>
        <v>Dr.</v>
      </c>
      <c r="D400" t="str">
        <f t="shared" si="25"/>
        <v/>
      </c>
      <c r="E400" t="str">
        <f t="shared" si="26"/>
        <v>Kilzer</v>
      </c>
      <c r="N400" t="str">
        <f>IF(OR(ISNUMBER(SEARCH("weg",[1]Tabelle1!C400&amp;Customers_0!D400)),
          ISNUMBER(SEARCH("gekündigt",Customers_0!C400&amp;Customers_0!D400)),
          ISNUMBER(SEARCH("rente",LOWER(Customers_0!C400&amp;Customers_0!D400)))),
   "INACTIVE",
   "ACTIVE")</f>
        <v>ACTIVE</v>
      </c>
      <c r="O400" t="str">
        <f t="shared" si="27"/>
        <v>OK</v>
      </c>
    </row>
    <row r="401" spans="1:15" x14ac:dyDescent="0.2">
      <c r="A401">
        <f>Customers_0!A401</f>
        <v>20959</v>
      </c>
      <c r="B401" t="str">
        <f>IFERROR(MID(Customers_0!B401,1,SEARCH(",",Customers_0!B401)-1),Customers_0!B401)</f>
        <v>K.M. Friedsam</v>
      </c>
      <c r="C401" t="str">
        <f t="shared" si="24"/>
        <v/>
      </c>
      <c r="D401" t="str">
        <f t="shared" si="25"/>
        <v/>
      </c>
      <c r="E401" t="str">
        <f t="shared" si="26"/>
        <v>K.M. Friedsam</v>
      </c>
      <c r="N401" t="str">
        <f>IF(OR(ISNUMBER(SEARCH("weg",[1]Tabelle1!C401&amp;Customers_0!D401)),
          ISNUMBER(SEARCH("gekündigt",Customers_0!C401&amp;Customers_0!D401)),
          ISNUMBER(SEARCH("rente",LOWER(Customers_0!C401&amp;Customers_0!D401)))),
   "INACTIVE",
   "ACTIVE")</f>
        <v>ACTIVE</v>
      </c>
      <c r="O401" t="str">
        <f t="shared" si="27"/>
        <v>OK</v>
      </c>
    </row>
    <row r="402" spans="1:15" x14ac:dyDescent="0.2">
      <c r="A402">
        <f>Customers_0!A402</f>
        <v>20960</v>
      </c>
      <c r="B402" t="str">
        <f>IFERROR(MID(Customers_0!B402,1,SEARCH(",",Customers_0!B402)-1),Customers_0!B402)</f>
        <v>M. Kammer</v>
      </c>
      <c r="C402" t="str">
        <f t="shared" si="24"/>
        <v/>
      </c>
      <c r="D402" t="str">
        <f t="shared" si="25"/>
        <v/>
      </c>
      <c r="E402" t="str">
        <f t="shared" si="26"/>
        <v>M. Kammer</v>
      </c>
      <c r="N402" t="str">
        <f>IF(OR(ISNUMBER(SEARCH("weg",[1]Tabelle1!C402&amp;Customers_0!D402)),
          ISNUMBER(SEARCH("gekündigt",Customers_0!C402&amp;Customers_0!D402)),
          ISNUMBER(SEARCH("rente",LOWER(Customers_0!C402&amp;Customers_0!D402)))),
   "INACTIVE",
   "ACTIVE")</f>
        <v>ACTIVE</v>
      </c>
      <c r="O402" t="str">
        <f t="shared" si="27"/>
        <v>OK</v>
      </c>
    </row>
    <row r="403" spans="1:15" x14ac:dyDescent="0.2">
      <c r="A403">
        <f>Customers_0!A403</f>
        <v>20961</v>
      </c>
      <c r="B403" t="str">
        <f>IFERROR(MID(Customers_0!B403,1,SEARCH(",",Customers_0!B403)-1),Customers_0!B403)</f>
        <v>MVZ Ortenau Zell am Herm</v>
      </c>
      <c r="C403" t="str">
        <f t="shared" si="24"/>
        <v/>
      </c>
      <c r="D403" t="str">
        <f t="shared" si="25"/>
        <v/>
      </c>
      <c r="E403" t="str">
        <f t="shared" si="26"/>
        <v>MVZ Ortenau Zell am Herm</v>
      </c>
      <c r="N403" t="str">
        <f>IF(OR(ISNUMBER(SEARCH("weg",[1]Tabelle1!C403&amp;Customers_0!D403)),
          ISNUMBER(SEARCH("gekündigt",Customers_0!C403&amp;Customers_0!D403)),
          ISNUMBER(SEARCH("rente",LOWER(Customers_0!C403&amp;Customers_0!D403)))),
   "INACTIVE",
   "ACTIVE")</f>
        <v>ACTIVE</v>
      </c>
      <c r="O403" t="str">
        <f t="shared" si="27"/>
        <v>OK</v>
      </c>
    </row>
    <row r="404" spans="1:15" x14ac:dyDescent="0.2">
      <c r="A404">
        <f>Customers_0!A404</f>
        <v>20962</v>
      </c>
      <c r="B404" t="str">
        <f>IFERROR(MID(Customers_0!B404,1,SEARCH(",",Customers_0!B404)-1),Customers_0!B404)</f>
        <v xml:space="preserve">Dr. Sarrasch </v>
      </c>
      <c r="C404" t="str">
        <f t="shared" si="24"/>
        <v>Dr.</v>
      </c>
      <c r="D404" t="str">
        <f t="shared" si="25"/>
        <v/>
      </c>
      <c r="E404" t="str">
        <f t="shared" si="26"/>
        <v>Sarrasch</v>
      </c>
      <c r="N404" t="str">
        <f>IF(OR(ISNUMBER(SEARCH("weg",[1]Tabelle1!C404&amp;Customers_0!D404)),
          ISNUMBER(SEARCH("gekündigt",Customers_0!C404&amp;Customers_0!D404)),
          ISNUMBER(SEARCH("rente",LOWER(Customers_0!C404&amp;Customers_0!D404)))),
   "INACTIVE",
   "ACTIVE")</f>
        <v>ACTIVE</v>
      </c>
      <c r="O404" t="str">
        <f t="shared" si="27"/>
        <v>OK</v>
      </c>
    </row>
    <row r="405" spans="1:15" x14ac:dyDescent="0.2">
      <c r="A405">
        <f>Customers_0!A405</f>
        <v>20963</v>
      </c>
      <c r="B405" t="str">
        <f>IFERROR(MID(Customers_0!B405,1,SEARCH(",",Customers_0!B405)-1),Customers_0!B405)</f>
        <v>Dr. Ninios</v>
      </c>
      <c r="C405" t="str">
        <f t="shared" si="24"/>
        <v>Dr.</v>
      </c>
      <c r="D405" t="str">
        <f t="shared" si="25"/>
        <v/>
      </c>
      <c r="E405" t="str">
        <f t="shared" si="26"/>
        <v>Ninios</v>
      </c>
      <c r="N405" t="str">
        <f>IF(OR(ISNUMBER(SEARCH("weg",[1]Tabelle1!C405&amp;Customers_0!D405)),
          ISNUMBER(SEARCH("gekündigt",Customers_0!C405&amp;Customers_0!D405)),
          ISNUMBER(SEARCH("rente",LOWER(Customers_0!C405&amp;Customers_0!D405)))),
   "INACTIVE",
   "ACTIVE")</f>
        <v>ACTIVE</v>
      </c>
      <c r="O405" t="str">
        <f t="shared" si="27"/>
        <v>OK</v>
      </c>
    </row>
    <row r="406" spans="1:15" x14ac:dyDescent="0.2">
      <c r="A406">
        <f>Customers_0!A406</f>
        <v>20964</v>
      </c>
      <c r="B406" t="str">
        <f>IFERROR(MID(Customers_0!B406,1,SEARCH(",",Customers_0!B406)-1),Customers_0!B406)</f>
        <v>Dr. Schinke</v>
      </c>
      <c r="C406" t="str">
        <f t="shared" si="24"/>
        <v>Dr.</v>
      </c>
      <c r="D406" t="str">
        <f t="shared" si="25"/>
        <v/>
      </c>
      <c r="E406" t="str">
        <f t="shared" si="26"/>
        <v>Schinke</v>
      </c>
      <c r="N406" t="str">
        <f>IF(OR(ISNUMBER(SEARCH("weg",[1]Tabelle1!C406&amp;Customers_0!D406)),
          ISNUMBER(SEARCH("gekündigt",Customers_0!C406&amp;Customers_0!D406)),
          ISNUMBER(SEARCH("rente",LOWER(Customers_0!C406&amp;Customers_0!D406)))),
   "INACTIVE",
   "ACTIVE")</f>
        <v>ACTIVE</v>
      </c>
      <c r="O406" t="str">
        <f t="shared" si="27"/>
        <v>OK</v>
      </c>
    </row>
    <row r="407" spans="1:15" x14ac:dyDescent="0.2">
      <c r="A407">
        <f>Customers_0!A407</f>
        <v>20965</v>
      </c>
      <c r="B407" t="str">
        <f>IFERROR(MID(Customers_0!B407,1,SEARCH(",",Customers_0!B407)-1),Customers_0!B407)</f>
        <v>Dr. Gensicke</v>
      </c>
      <c r="C407" t="str">
        <f t="shared" si="24"/>
        <v>Dr.</v>
      </c>
      <c r="D407" t="str">
        <f t="shared" si="25"/>
        <v/>
      </c>
      <c r="E407" t="str">
        <f t="shared" si="26"/>
        <v>Gensicke</v>
      </c>
      <c r="N407" t="str">
        <f>IF(OR(ISNUMBER(SEARCH("weg",[1]Tabelle1!C407&amp;Customers_0!D407)),
          ISNUMBER(SEARCH("gekündigt",Customers_0!C407&amp;Customers_0!D407)),
          ISNUMBER(SEARCH("rente",LOWER(Customers_0!C407&amp;Customers_0!D407)))),
   "INACTIVE",
   "ACTIVE")</f>
        <v>ACTIVE</v>
      </c>
      <c r="O407" t="str">
        <f t="shared" si="27"/>
        <v>OK</v>
      </c>
    </row>
    <row r="408" spans="1:15" x14ac:dyDescent="0.2">
      <c r="A408">
        <f>Customers_0!A408</f>
        <v>20966</v>
      </c>
      <c r="B408" t="str">
        <f>IFERROR(MID(Customers_0!B408,1,SEARCH(",",Customers_0!B408)-1),Customers_0!B408)</f>
        <v>Möbus</v>
      </c>
      <c r="C408" t="str">
        <f t="shared" si="24"/>
        <v/>
      </c>
      <c r="D408" t="str">
        <f t="shared" si="25"/>
        <v/>
      </c>
      <c r="E408" t="str">
        <f t="shared" si="26"/>
        <v>Möbus</v>
      </c>
      <c r="N408" t="str">
        <f>IF(OR(ISNUMBER(SEARCH("weg",[1]Tabelle1!C408&amp;Customers_0!D408)),
          ISNUMBER(SEARCH("gekündigt",Customers_0!C408&amp;Customers_0!D408)),
          ISNUMBER(SEARCH("rente",LOWER(Customers_0!C408&amp;Customers_0!D408)))),
   "INACTIVE",
   "ACTIVE")</f>
        <v>ACTIVE</v>
      </c>
      <c r="O408" t="str">
        <f t="shared" si="27"/>
        <v>OK</v>
      </c>
    </row>
    <row r="409" spans="1:15" x14ac:dyDescent="0.2">
      <c r="A409">
        <f>Customers_0!A409</f>
        <v>20967</v>
      </c>
      <c r="B409" t="str">
        <f>IFERROR(MID(Customers_0!B409,1,SEARCH(",",Customers_0!B409)-1),Customers_0!B409)</f>
        <v>Lieser</v>
      </c>
      <c r="C409" t="str">
        <f t="shared" si="24"/>
        <v/>
      </c>
      <c r="D409" t="str">
        <f t="shared" si="25"/>
        <v/>
      </c>
      <c r="E409" t="str">
        <f t="shared" si="26"/>
        <v>Lieser</v>
      </c>
      <c r="N409" t="str">
        <f>IF(OR(ISNUMBER(SEARCH("weg",[1]Tabelle1!C409&amp;Customers_0!D409)),
          ISNUMBER(SEARCH("gekündigt",Customers_0!C409&amp;Customers_0!D409)),
          ISNUMBER(SEARCH("rente",LOWER(Customers_0!C409&amp;Customers_0!D409)))),
   "INACTIVE",
   "ACTIVE")</f>
        <v>ACTIVE</v>
      </c>
      <c r="O409" t="str">
        <f t="shared" si="27"/>
        <v>OK</v>
      </c>
    </row>
    <row r="410" spans="1:15" x14ac:dyDescent="0.2">
      <c r="A410">
        <f>Customers_0!A410</f>
        <v>20968</v>
      </c>
      <c r="B410" t="str">
        <f>IFERROR(MID(Customers_0!B410,1,SEARCH(",",Customers_0!B410)-1),Customers_0!B410)</f>
        <v>Weiland-Laubheimer</v>
      </c>
      <c r="C410" t="str">
        <f t="shared" si="24"/>
        <v/>
      </c>
      <c r="D410" t="str">
        <f t="shared" si="25"/>
        <v/>
      </c>
      <c r="E410" t="str">
        <f t="shared" si="26"/>
        <v>Weiland-Laubheimer</v>
      </c>
      <c r="N410" t="str">
        <f>IF(OR(ISNUMBER(SEARCH("weg",[1]Tabelle1!C410&amp;Customers_0!D410)),
          ISNUMBER(SEARCH("gekündigt",Customers_0!C410&amp;Customers_0!D410)),
          ISNUMBER(SEARCH("rente",LOWER(Customers_0!C410&amp;Customers_0!D410)))),
   "INACTIVE",
   "ACTIVE")</f>
        <v>ACTIVE</v>
      </c>
      <c r="O410" t="str">
        <f t="shared" si="27"/>
        <v>PRÜFEN</v>
      </c>
    </row>
    <row r="411" spans="1:15" x14ac:dyDescent="0.2">
      <c r="A411">
        <f>Customers_0!A411</f>
        <v>20969</v>
      </c>
      <c r="B411" t="str">
        <f>IFERROR(MID(Customers_0!B411,1,SEARCH(",",Customers_0!B411)-1),Customers_0!B411)</f>
        <v>Angele</v>
      </c>
      <c r="C411" t="str">
        <f t="shared" si="24"/>
        <v/>
      </c>
      <c r="D411" t="str">
        <f t="shared" si="25"/>
        <v/>
      </c>
      <c r="E411" t="str">
        <f t="shared" si="26"/>
        <v>Angele</v>
      </c>
      <c r="N411" t="str">
        <f>IF(OR(ISNUMBER(SEARCH("weg",[1]Tabelle1!C411&amp;Customers_0!D411)),
          ISNUMBER(SEARCH("gekündigt",Customers_0!C411&amp;Customers_0!D411)),
          ISNUMBER(SEARCH("rente",LOWER(Customers_0!C411&amp;Customers_0!D411)))),
   "INACTIVE",
   "ACTIVE")</f>
        <v>ACTIVE</v>
      </c>
      <c r="O411" t="str">
        <f t="shared" si="27"/>
        <v>OK</v>
      </c>
    </row>
    <row r="412" spans="1:15" x14ac:dyDescent="0.2">
      <c r="A412">
        <f>Customers_0!A412</f>
        <v>20970</v>
      </c>
      <c r="B412" t="str">
        <f>IFERROR(MID(Customers_0!B412,1,SEARCH(",",Customers_0!B412)-1),Customers_0!B412)</f>
        <v>Rotzler</v>
      </c>
      <c r="C412" t="str">
        <f t="shared" si="24"/>
        <v/>
      </c>
      <c r="D412" t="str">
        <f t="shared" si="25"/>
        <v/>
      </c>
      <c r="E412" t="str">
        <f t="shared" si="26"/>
        <v>Rotzler</v>
      </c>
      <c r="N412" t="str">
        <f>IF(OR(ISNUMBER(SEARCH("weg",[1]Tabelle1!C412&amp;Customers_0!D412)),
          ISNUMBER(SEARCH("gekündigt",Customers_0!C412&amp;Customers_0!D412)),
          ISNUMBER(SEARCH("rente",LOWER(Customers_0!C412&amp;Customers_0!D412)))),
   "INACTIVE",
   "ACTIVE")</f>
        <v>ACTIVE</v>
      </c>
      <c r="O412" t="str">
        <f t="shared" si="27"/>
        <v>OK</v>
      </c>
    </row>
    <row r="413" spans="1:15" x14ac:dyDescent="0.2">
      <c r="A413">
        <f>Customers_0!A413</f>
        <v>20971</v>
      </c>
      <c r="B413" t="str">
        <f>IFERROR(MID(Customers_0!B413,1,SEARCH(",",Customers_0!B413)-1),Customers_0!B413)</f>
        <v>Kirsner</v>
      </c>
      <c r="C413" t="str">
        <f t="shared" si="24"/>
        <v/>
      </c>
      <c r="D413" t="str">
        <f t="shared" si="25"/>
        <v/>
      </c>
      <c r="E413" t="str">
        <f t="shared" si="26"/>
        <v>Kirsner</v>
      </c>
      <c r="N413" t="str">
        <f>IF(OR(ISNUMBER(SEARCH("weg",[1]Tabelle1!C413&amp;Customers_0!D413)),
          ISNUMBER(SEARCH("gekündigt",Customers_0!C413&amp;Customers_0!D413)),
          ISNUMBER(SEARCH("rente",LOWER(Customers_0!C413&amp;Customers_0!D413)))),
   "INACTIVE",
   "ACTIVE")</f>
        <v>ACTIVE</v>
      </c>
      <c r="O413" t="str">
        <f t="shared" si="27"/>
        <v>OK</v>
      </c>
    </row>
    <row r="414" spans="1:15" x14ac:dyDescent="0.2">
      <c r="A414">
        <f>Customers_0!A414</f>
        <v>20972</v>
      </c>
      <c r="B414" t="str">
        <f>IFERROR(MID(Customers_0!B414,1,SEARCH(",",Customers_0!B414)-1),Customers_0!B414)</f>
        <v>Förster</v>
      </c>
      <c r="C414" t="str">
        <f t="shared" si="24"/>
        <v/>
      </c>
      <c r="D414" t="str">
        <f t="shared" si="25"/>
        <v/>
      </c>
      <c r="E414" t="str">
        <f t="shared" si="26"/>
        <v>Förster</v>
      </c>
      <c r="N414" t="str">
        <f>IF(OR(ISNUMBER(SEARCH("weg",[1]Tabelle1!C414&amp;Customers_0!D414)),
          ISNUMBER(SEARCH("gekündigt",Customers_0!C414&amp;Customers_0!D414)),
          ISNUMBER(SEARCH("rente",LOWER(Customers_0!C414&amp;Customers_0!D414)))),
   "INACTIVE",
   "ACTIVE")</f>
        <v>ACTIVE</v>
      </c>
      <c r="O414" t="str">
        <f t="shared" si="27"/>
        <v>OK</v>
      </c>
    </row>
    <row r="415" spans="1:15" x14ac:dyDescent="0.2">
      <c r="A415">
        <f>Customers_0!A415</f>
        <v>20973</v>
      </c>
      <c r="B415" t="str">
        <f>IFERROR(MID(Customers_0!B415,1,SEARCH(",",Customers_0!B415)-1),Customers_0!B415)</f>
        <v>Augenz.Bremen Pappelstr</v>
      </c>
      <c r="C415" t="str">
        <f t="shared" si="24"/>
        <v/>
      </c>
      <c r="D415" t="str">
        <f t="shared" si="25"/>
        <v/>
      </c>
      <c r="E415" t="str">
        <f t="shared" si="26"/>
        <v>Augenz.Bremen Pappelstr</v>
      </c>
      <c r="N415" t="str">
        <f>IF(OR(ISNUMBER(SEARCH("weg",[1]Tabelle1!C415&amp;Customers_0!D415)),
          ISNUMBER(SEARCH("gekündigt",Customers_0!C415&amp;Customers_0!D415)),
          ISNUMBER(SEARCH("rente",LOWER(Customers_0!C415&amp;Customers_0!D415)))),
   "INACTIVE",
   "ACTIVE")</f>
        <v>ACTIVE</v>
      </c>
      <c r="O415" t="str">
        <f t="shared" si="27"/>
        <v>OK</v>
      </c>
    </row>
    <row r="416" spans="1:15" x14ac:dyDescent="0.2">
      <c r="A416">
        <f>Customers_0!A416</f>
        <v>20974</v>
      </c>
      <c r="B416" t="str">
        <f>IFERROR(MID(Customers_0!B416,1,SEARCH(",",Customers_0!B416)-1),Customers_0!B416)</f>
        <v>Neumüller</v>
      </c>
      <c r="C416" t="str">
        <f t="shared" si="24"/>
        <v/>
      </c>
      <c r="D416" t="str">
        <f t="shared" si="25"/>
        <v/>
      </c>
      <c r="E416" t="str">
        <f t="shared" si="26"/>
        <v>Neumüller</v>
      </c>
      <c r="N416" t="str">
        <f>IF(OR(ISNUMBER(SEARCH("weg",[1]Tabelle1!C416&amp;Customers_0!D416)),
          ISNUMBER(SEARCH("gekündigt",Customers_0!C416&amp;Customers_0!D416)),
          ISNUMBER(SEARCH("rente",LOWER(Customers_0!C416&amp;Customers_0!D416)))),
   "INACTIVE",
   "ACTIVE")</f>
        <v>ACTIVE</v>
      </c>
      <c r="O416" t="str">
        <f t="shared" si="27"/>
        <v>OK</v>
      </c>
    </row>
    <row r="417" spans="1:15" x14ac:dyDescent="0.2">
      <c r="A417">
        <f>Customers_0!A417</f>
        <v>20975</v>
      </c>
      <c r="B417" t="str">
        <f>IFERROR(MID(Customers_0!B417,1,SEARCH(",",Customers_0!B417)-1),Customers_0!B417)</f>
        <v>Drs. Zöller/ Höhn</v>
      </c>
      <c r="C417" t="str">
        <f t="shared" si="24"/>
        <v>Drs.</v>
      </c>
      <c r="D417" t="str">
        <f t="shared" si="25"/>
        <v/>
      </c>
      <c r="E417" t="str">
        <f t="shared" si="26"/>
        <v>Zöller/ Höhn</v>
      </c>
      <c r="N417" t="str">
        <f>IF(OR(ISNUMBER(SEARCH("weg",[1]Tabelle1!C417&amp;Customers_0!D417)),
          ISNUMBER(SEARCH("gekündigt",Customers_0!C417&amp;Customers_0!D417)),
          ISNUMBER(SEARCH("rente",LOWER(Customers_0!C417&amp;Customers_0!D417)))),
   "INACTIVE",
   "ACTIVE")</f>
        <v>ACTIVE</v>
      </c>
      <c r="O417" t="str">
        <f t="shared" si="27"/>
        <v>PRÜFEN</v>
      </c>
    </row>
    <row r="418" spans="1:15" x14ac:dyDescent="0.2">
      <c r="A418">
        <f>Customers_0!A418</f>
        <v>20976</v>
      </c>
      <c r="B418" t="str">
        <f>IFERROR(MID(Customers_0!B418,1,SEARCH(",",Customers_0!B418)-1),Customers_0!B418)</f>
        <v>Dr. Ebensperger</v>
      </c>
      <c r="C418" t="str">
        <f t="shared" si="24"/>
        <v>Dr.</v>
      </c>
      <c r="D418" t="str">
        <f t="shared" si="25"/>
        <v/>
      </c>
      <c r="E418" t="str">
        <f t="shared" si="26"/>
        <v>Ebensperger</v>
      </c>
      <c r="N418" t="str">
        <f>IF(OR(ISNUMBER(SEARCH("weg",[1]Tabelle1!C418&amp;Customers_0!D418)),
          ISNUMBER(SEARCH("gekündigt",Customers_0!C418&amp;Customers_0!D418)),
          ISNUMBER(SEARCH("rente",LOWER(Customers_0!C418&amp;Customers_0!D418)))),
   "INACTIVE",
   "ACTIVE")</f>
        <v>INACTIVE</v>
      </c>
      <c r="O418" t="str">
        <f t="shared" si="27"/>
        <v>OK</v>
      </c>
    </row>
    <row r="419" spans="1:15" x14ac:dyDescent="0.2">
      <c r="A419">
        <f>Customers_0!A419</f>
        <v>20977</v>
      </c>
      <c r="B419" t="str">
        <f>IFERROR(MID(Customers_0!B419,1,SEARCH(",",Customers_0!B419)-1),Customers_0!B419)</f>
        <v>Dr. S. Dietrich</v>
      </c>
      <c r="C419" t="str">
        <f t="shared" si="24"/>
        <v>Dr.</v>
      </c>
      <c r="D419" t="str">
        <f t="shared" si="25"/>
        <v>S.</v>
      </c>
      <c r="E419" t="str">
        <f t="shared" si="26"/>
        <v>Dietrich</v>
      </c>
      <c r="N419" t="str">
        <f>IF(OR(ISNUMBER(SEARCH("weg",[1]Tabelle1!C419&amp;Customers_0!D419)),
          ISNUMBER(SEARCH("gekündigt",Customers_0!C419&amp;Customers_0!D419)),
          ISNUMBER(SEARCH("rente",LOWER(Customers_0!C419&amp;Customers_0!D419)))),
   "INACTIVE",
   "ACTIVE")</f>
        <v>ACTIVE</v>
      </c>
      <c r="O419" t="str">
        <f t="shared" si="27"/>
        <v>OK</v>
      </c>
    </row>
    <row r="420" spans="1:15" x14ac:dyDescent="0.2">
      <c r="A420">
        <f>Customers_0!A420</f>
        <v>20978</v>
      </c>
      <c r="B420" t="str">
        <f>IFERROR(MID(Customers_0!B420,1,SEARCH(",",Customers_0!B420)-1),Customers_0!B420)</f>
        <v>Fr.Dr.G.Mahler</v>
      </c>
      <c r="C420" t="str">
        <f t="shared" si="24"/>
        <v/>
      </c>
      <c r="D420" t="str">
        <f t="shared" si="25"/>
        <v/>
      </c>
      <c r="E420" t="str">
        <f t="shared" si="26"/>
        <v>Fr.Dr.G.Mahler</v>
      </c>
      <c r="N420" t="str">
        <f>IF(OR(ISNUMBER(SEARCH("weg",[1]Tabelle1!C420&amp;Customers_0!D420)),
          ISNUMBER(SEARCH("gekündigt",Customers_0!C420&amp;Customers_0!D420)),
          ISNUMBER(SEARCH("rente",LOWER(Customers_0!C420&amp;Customers_0!D420)))),
   "INACTIVE",
   "ACTIVE")</f>
        <v>ACTIVE</v>
      </c>
      <c r="O420" t="str">
        <f t="shared" si="27"/>
        <v>OK</v>
      </c>
    </row>
    <row r="421" spans="1:15" x14ac:dyDescent="0.2">
      <c r="A421">
        <f>Customers_0!A421</f>
        <v>20979</v>
      </c>
      <c r="B421" t="str">
        <f>IFERROR(MID(Customers_0!B421,1,SEARCH(",",Customers_0!B421)-1),Customers_0!B421)</f>
        <v>Dr. Rieth</v>
      </c>
      <c r="C421" t="str">
        <f t="shared" si="24"/>
        <v>Dr.</v>
      </c>
      <c r="D421" t="str">
        <f t="shared" si="25"/>
        <v/>
      </c>
      <c r="E421" t="str">
        <f t="shared" si="26"/>
        <v>Rieth</v>
      </c>
      <c r="N421" t="str">
        <f>IF(OR(ISNUMBER(SEARCH("weg",[1]Tabelle1!C421&amp;Customers_0!D421)),
          ISNUMBER(SEARCH("gekündigt",Customers_0!C421&amp;Customers_0!D421)),
          ISNUMBER(SEARCH("rente",LOWER(Customers_0!C421&amp;Customers_0!D421)))),
   "INACTIVE",
   "ACTIVE")</f>
        <v>ACTIVE</v>
      </c>
      <c r="O421" t="str">
        <f t="shared" si="27"/>
        <v>OK</v>
      </c>
    </row>
    <row r="422" spans="1:15" x14ac:dyDescent="0.2">
      <c r="A422">
        <f>Customers_0!A422</f>
        <v>20980</v>
      </c>
      <c r="B422" t="str">
        <f>IFERROR(MID(Customers_0!B422,1,SEARCH(",",Customers_0!B422)-1),Customers_0!B422)</f>
        <v>Wimmershof-Rieth</v>
      </c>
      <c r="C422" t="str">
        <f t="shared" si="24"/>
        <v/>
      </c>
      <c r="D422" t="str">
        <f t="shared" si="25"/>
        <v/>
      </c>
      <c r="E422" t="str">
        <f t="shared" si="26"/>
        <v>Wimmershof-Rieth</v>
      </c>
      <c r="N422" t="str">
        <f>IF(OR(ISNUMBER(SEARCH("weg",[1]Tabelle1!C422&amp;Customers_0!D422)),
          ISNUMBER(SEARCH("gekündigt",Customers_0!C422&amp;Customers_0!D422)),
          ISNUMBER(SEARCH("rente",LOWER(Customers_0!C422&amp;Customers_0!D422)))),
   "INACTIVE",
   "ACTIVE")</f>
        <v>ACTIVE</v>
      </c>
      <c r="O422" t="str">
        <f t="shared" si="27"/>
        <v>PRÜFEN</v>
      </c>
    </row>
    <row r="423" spans="1:15" x14ac:dyDescent="0.2">
      <c r="A423">
        <f>Customers_0!A423</f>
        <v>20981</v>
      </c>
      <c r="B423" t="str">
        <f>IFERROR(MID(Customers_0!B423,1,SEARCH(",",Customers_0!B423)-1),Customers_0!B423)</f>
        <v>MVZ Buderer</v>
      </c>
      <c r="C423" t="str">
        <f t="shared" si="24"/>
        <v/>
      </c>
      <c r="D423" t="str">
        <f t="shared" si="25"/>
        <v/>
      </c>
      <c r="E423" t="str">
        <f t="shared" si="26"/>
        <v>MVZ Buderer</v>
      </c>
      <c r="N423" t="str">
        <f>IF(OR(ISNUMBER(SEARCH("weg",[1]Tabelle1!C423&amp;Customers_0!D423)),
          ISNUMBER(SEARCH("gekündigt",Customers_0!C423&amp;Customers_0!D423)),
          ISNUMBER(SEARCH("rente",LOWER(Customers_0!C423&amp;Customers_0!D423)))),
   "INACTIVE",
   "ACTIVE")</f>
        <v>ACTIVE</v>
      </c>
      <c r="O423" t="str">
        <f t="shared" si="27"/>
        <v>OK</v>
      </c>
    </row>
    <row r="424" spans="1:15" x14ac:dyDescent="0.2">
      <c r="A424">
        <f>Customers_0!A424</f>
        <v>20982</v>
      </c>
      <c r="B424" t="str">
        <f>IFERROR(MID(Customers_0!B424,1,SEARCH(",",Customers_0!B424)-1),Customers_0!B424)</f>
        <v>Dr. Knöbber</v>
      </c>
      <c r="C424" t="str">
        <f t="shared" si="24"/>
        <v>Dr.</v>
      </c>
      <c r="D424" t="str">
        <f t="shared" si="25"/>
        <v/>
      </c>
      <c r="E424" t="str">
        <f t="shared" si="26"/>
        <v>Knöbber</v>
      </c>
      <c r="N424" t="str">
        <f>IF(OR(ISNUMBER(SEARCH("weg",[1]Tabelle1!C424&amp;Customers_0!D424)),
          ISNUMBER(SEARCH("gekündigt",Customers_0!C424&amp;Customers_0!D424)),
          ISNUMBER(SEARCH("rente",LOWER(Customers_0!C424&amp;Customers_0!D424)))),
   "INACTIVE",
   "ACTIVE")</f>
        <v>ACTIVE</v>
      </c>
      <c r="O424" t="str">
        <f t="shared" si="27"/>
        <v>OK</v>
      </c>
    </row>
    <row r="425" spans="1:15" x14ac:dyDescent="0.2">
      <c r="A425">
        <f>Customers_0!A425</f>
        <v>20983</v>
      </c>
      <c r="B425" t="str">
        <f>IFERROR(MID(Customers_0!B425,1,SEARCH(",",Customers_0!B425)-1),Customers_0!B425)</f>
        <v>S. Niendieker</v>
      </c>
      <c r="C425" t="str">
        <f t="shared" si="24"/>
        <v/>
      </c>
      <c r="D425" t="str">
        <f t="shared" si="25"/>
        <v/>
      </c>
      <c r="E425" t="str">
        <f t="shared" si="26"/>
        <v>S. Niendieker</v>
      </c>
      <c r="N425" t="str">
        <f>IF(OR(ISNUMBER(SEARCH("weg",[1]Tabelle1!C425&amp;Customers_0!D425)),
          ISNUMBER(SEARCH("gekündigt",Customers_0!C425&amp;Customers_0!D425)),
          ISNUMBER(SEARCH("rente",LOWER(Customers_0!C425&amp;Customers_0!D425)))),
   "INACTIVE",
   "ACTIVE")</f>
        <v>INACTIVE</v>
      </c>
      <c r="O425" t="str">
        <f t="shared" si="27"/>
        <v>OK</v>
      </c>
    </row>
    <row r="426" spans="1:15" x14ac:dyDescent="0.2">
      <c r="A426">
        <f>Customers_0!A426</f>
        <v>20984</v>
      </c>
      <c r="B426" t="str">
        <f>IFERROR(MID(Customers_0!B426,1,SEARCH(",",Customers_0!B426)-1),Customers_0!B426)</f>
        <v>Drs.Mannschreck/ Sam</v>
      </c>
      <c r="C426" t="str">
        <f t="shared" si="24"/>
        <v>Drs.Mannschreck/</v>
      </c>
      <c r="D426" t="str">
        <f t="shared" si="25"/>
        <v/>
      </c>
      <c r="E426" t="str">
        <f t="shared" si="26"/>
        <v>Sam</v>
      </c>
      <c r="N426" t="str">
        <f>IF(OR(ISNUMBER(SEARCH("weg",[1]Tabelle1!C426&amp;Customers_0!D426)),
          ISNUMBER(SEARCH("gekündigt",Customers_0!C426&amp;Customers_0!D426)),
          ISNUMBER(SEARCH("rente",LOWER(Customers_0!C426&amp;Customers_0!D426)))),
   "INACTIVE",
   "ACTIVE")</f>
        <v>ACTIVE</v>
      </c>
      <c r="O426" t="str">
        <f t="shared" si="27"/>
        <v>OK</v>
      </c>
    </row>
    <row r="427" spans="1:15" x14ac:dyDescent="0.2">
      <c r="A427">
        <f>Customers_0!A427</f>
        <v>20985</v>
      </c>
      <c r="B427" t="str">
        <f>IFERROR(MID(Customers_0!B427,1,SEARCH(",",Customers_0!B427)-1),Customers_0!B427)</f>
        <v>Augenz.Bremen-Arbergen</v>
      </c>
      <c r="C427" t="str">
        <f t="shared" si="24"/>
        <v/>
      </c>
      <c r="D427" t="str">
        <f t="shared" si="25"/>
        <v/>
      </c>
      <c r="E427" t="str">
        <f t="shared" si="26"/>
        <v>Augenz.Bremen-Arbergen</v>
      </c>
      <c r="N427" t="str">
        <f>IF(OR(ISNUMBER(SEARCH("weg",[1]Tabelle1!C427&amp;Customers_0!D427)),
          ISNUMBER(SEARCH("gekündigt",Customers_0!C427&amp;Customers_0!D427)),
          ISNUMBER(SEARCH("rente",LOWER(Customers_0!C427&amp;Customers_0!D427)))),
   "INACTIVE",
   "ACTIVE")</f>
        <v>INACTIVE</v>
      </c>
      <c r="O427" t="str">
        <f t="shared" si="27"/>
        <v>PRÜFEN</v>
      </c>
    </row>
    <row r="428" spans="1:15" x14ac:dyDescent="0.2">
      <c r="A428">
        <f>Customers_0!A428</f>
        <v>20986</v>
      </c>
      <c r="B428" t="str">
        <f>IFERROR(MID(Customers_0!B428,1,SEARCH(",",Customers_0!B428)-1),Customers_0!B428)</f>
        <v>Dr. Egeling</v>
      </c>
      <c r="C428" t="str">
        <f t="shared" si="24"/>
        <v>Dr.</v>
      </c>
      <c r="D428" t="str">
        <f t="shared" si="25"/>
        <v/>
      </c>
      <c r="E428" t="str">
        <f t="shared" si="26"/>
        <v>Egeling</v>
      </c>
      <c r="N428" t="str">
        <f>IF(OR(ISNUMBER(SEARCH("weg",[1]Tabelle1!C428&amp;Customers_0!D428)),
          ISNUMBER(SEARCH("gekündigt",Customers_0!C428&amp;Customers_0!D428)),
          ISNUMBER(SEARCH("rente",LOWER(Customers_0!C428&amp;Customers_0!D428)))),
   "INACTIVE",
   "ACTIVE")</f>
        <v>ACTIVE</v>
      </c>
      <c r="O428" t="str">
        <f t="shared" si="27"/>
        <v>OK</v>
      </c>
    </row>
    <row r="429" spans="1:15" x14ac:dyDescent="0.2">
      <c r="A429">
        <f>Customers_0!A429</f>
        <v>20987</v>
      </c>
      <c r="B429" t="str">
        <f>IFERROR(MID(Customers_0!B429,1,SEARCH(",",Customers_0!B429)-1),Customers_0!B429)</f>
        <v>Drs. Beller/ Ruffer</v>
      </c>
      <c r="C429" t="str">
        <f t="shared" si="24"/>
        <v>Drs.</v>
      </c>
      <c r="D429" t="str">
        <f t="shared" si="25"/>
        <v/>
      </c>
      <c r="E429" t="str">
        <f t="shared" si="26"/>
        <v>Beller/ Ruffer</v>
      </c>
      <c r="N429" t="str">
        <f>IF(OR(ISNUMBER(SEARCH("weg",[1]Tabelle1!C429&amp;Customers_0!D429)),
          ISNUMBER(SEARCH("gekündigt",Customers_0!C429&amp;Customers_0!D429)),
          ISNUMBER(SEARCH("rente",LOWER(Customers_0!C429&amp;Customers_0!D429)))),
   "INACTIVE",
   "ACTIVE")</f>
        <v>ACTIVE</v>
      </c>
      <c r="O429" t="str">
        <f t="shared" si="27"/>
        <v>PRÜFEN</v>
      </c>
    </row>
    <row r="430" spans="1:15" x14ac:dyDescent="0.2">
      <c r="A430">
        <f>Customers_0!A430</f>
        <v>20988</v>
      </c>
      <c r="B430" t="str">
        <f>IFERROR(MID(Customers_0!B430,1,SEARCH(",",Customers_0!B430)-1),Customers_0!B430)</f>
        <v>Alpha Apotheke</v>
      </c>
      <c r="C430" t="str">
        <f t="shared" si="24"/>
        <v/>
      </c>
      <c r="D430" t="str">
        <f t="shared" si="25"/>
        <v/>
      </c>
      <c r="E430" t="str">
        <f t="shared" si="26"/>
        <v>Alpha Apotheke</v>
      </c>
      <c r="N430" t="str">
        <f>IF(OR(ISNUMBER(SEARCH("weg",[1]Tabelle1!C430&amp;Customers_0!D430)),
          ISNUMBER(SEARCH("gekündigt",Customers_0!C430&amp;Customers_0!D430)),
          ISNUMBER(SEARCH("rente",LOWER(Customers_0!C430&amp;Customers_0!D430)))),
   "INACTIVE",
   "ACTIVE")</f>
        <v>INACTIVE</v>
      </c>
      <c r="O430" t="str">
        <f t="shared" si="27"/>
        <v>OK</v>
      </c>
    </row>
    <row r="431" spans="1:15" x14ac:dyDescent="0.2">
      <c r="A431">
        <f>Customers_0!A431</f>
        <v>20989</v>
      </c>
      <c r="B431" t="str">
        <f>IFERROR(MID(Customers_0!B431,1,SEARCH(",",Customers_0!B431)-1),Customers_0!B431)</f>
        <v>Marien Apotheke</v>
      </c>
      <c r="C431" t="str">
        <f t="shared" si="24"/>
        <v/>
      </c>
      <c r="D431" t="str">
        <f t="shared" si="25"/>
        <v/>
      </c>
      <c r="E431" t="str">
        <f t="shared" si="26"/>
        <v>Marien Apotheke</v>
      </c>
      <c r="N431" t="str">
        <f>IF(OR(ISNUMBER(SEARCH("weg",[1]Tabelle1!C431&amp;Customers_0!D431)),
          ISNUMBER(SEARCH("gekündigt",Customers_0!C431&amp;Customers_0!D431)),
          ISNUMBER(SEARCH("rente",LOWER(Customers_0!C431&amp;Customers_0!D431)))),
   "INACTIVE",
   "ACTIVE")</f>
        <v>INACTIVE</v>
      </c>
      <c r="O431" t="str">
        <f t="shared" si="27"/>
        <v>OK</v>
      </c>
    </row>
    <row r="432" spans="1:15" x14ac:dyDescent="0.2">
      <c r="A432">
        <f>Customers_0!A432</f>
        <v>20990</v>
      </c>
      <c r="B432" t="str">
        <f>IFERROR(MID(Customers_0!B432,1,SEARCH(",",Customers_0!B432)-1),Customers_0!B432)</f>
        <v>Dr.Beck/ Schwarz</v>
      </c>
      <c r="C432" t="str">
        <f t="shared" si="24"/>
        <v>Dr.Beck/</v>
      </c>
      <c r="D432" t="str">
        <f t="shared" si="25"/>
        <v/>
      </c>
      <c r="E432" t="str">
        <f t="shared" si="26"/>
        <v>Schwarz</v>
      </c>
      <c r="N432" t="str">
        <f>IF(OR(ISNUMBER(SEARCH("weg",[1]Tabelle1!C432&amp;Customers_0!D432)),
          ISNUMBER(SEARCH("gekündigt",Customers_0!C432&amp;Customers_0!D432)),
          ISNUMBER(SEARCH("rente",LOWER(Customers_0!C432&amp;Customers_0!D432)))),
   "INACTIVE",
   "ACTIVE")</f>
        <v>ACTIVE</v>
      </c>
      <c r="O432" t="str">
        <f t="shared" si="27"/>
        <v>OK</v>
      </c>
    </row>
    <row r="433" spans="1:15" x14ac:dyDescent="0.2">
      <c r="A433">
        <f>Customers_0!A433</f>
        <v>20991</v>
      </c>
      <c r="B433" t="str">
        <f>IFERROR(MID(Customers_0!B433,1,SEARCH(",",Customers_0!B433)-1),Customers_0!B433)</f>
        <v>Drs. Braun/Thorns/Alvarez</v>
      </c>
      <c r="C433" t="str">
        <f t="shared" si="24"/>
        <v>Drs.</v>
      </c>
      <c r="D433" t="str">
        <f t="shared" si="25"/>
        <v/>
      </c>
      <c r="E433" t="str">
        <f t="shared" si="26"/>
        <v>Braun/Thorns/Alvarez</v>
      </c>
      <c r="N433" t="str">
        <f>IF(OR(ISNUMBER(SEARCH("weg",[1]Tabelle1!C433&amp;Customers_0!D433)),
          ISNUMBER(SEARCH("gekündigt",Customers_0!C433&amp;Customers_0!D433)),
          ISNUMBER(SEARCH("rente",LOWER(Customers_0!C433&amp;Customers_0!D433)))),
   "INACTIVE",
   "ACTIVE")</f>
        <v>ACTIVE</v>
      </c>
      <c r="O433" t="str">
        <f t="shared" si="27"/>
        <v>PRÜFEN</v>
      </c>
    </row>
    <row r="434" spans="1:15" x14ac:dyDescent="0.2">
      <c r="A434">
        <f>Customers_0!A434</f>
        <v>20992</v>
      </c>
      <c r="B434" t="str">
        <f>IFERROR(MID(Customers_0!B434,1,SEARCH(",",Customers_0!B434)-1),Customers_0!B434)</f>
        <v>Mathias Misselwitz</v>
      </c>
      <c r="C434" t="str">
        <f t="shared" si="24"/>
        <v/>
      </c>
      <c r="D434" t="str">
        <f t="shared" si="25"/>
        <v/>
      </c>
      <c r="E434" t="str">
        <f t="shared" si="26"/>
        <v>Mathias Misselwitz</v>
      </c>
      <c r="N434" t="str">
        <f>IF(OR(ISNUMBER(SEARCH("weg",[1]Tabelle1!C434&amp;Customers_0!D434)),
          ISNUMBER(SEARCH("gekündigt",Customers_0!C434&amp;Customers_0!D434)),
          ISNUMBER(SEARCH("rente",LOWER(Customers_0!C434&amp;Customers_0!D434)))),
   "INACTIVE",
   "ACTIVE")</f>
        <v>ACTIVE</v>
      </c>
      <c r="O434" t="str">
        <f t="shared" si="27"/>
        <v>OK</v>
      </c>
    </row>
    <row r="435" spans="1:15" x14ac:dyDescent="0.2">
      <c r="A435">
        <f>Customers_0!A435</f>
        <v>20993</v>
      </c>
      <c r="B435" t="str">
        <f>IFERROR(MID(Customers_0!B435,1,SEARCH(",",Customers_0!B435)-1),Customers_0!B435)</f>
        <v>Dr. S. Walter</v>
      </c>
      <c r="C435" t="str">
        <f t="shared" si="24"/>
        <v>Dr.</v>
      </c>
      <c r="D435" t="str">
        <f t="shared" si="25"/>
        <v>S.</v>
      </c>
      <c r="E435" t="str">
        <f t="shared" si="26"/>
        <v>Walter</v>
      </c>
      <c r="N435" t="str">
        <f>IF(OR(ISNUMBER(SEARCH("weg",[1]Tabelle1!C435&amp;Customers_0!D435)),
          ISNUMBER(SEARCH("gekündigt",Customers_0!C435&amp;Customers_0!D435)),
          ISNUMBER(SEARCH("rente",LOWER(Customers_0!C435&amp;Customers_0!D435)))),
   "INACTIVE",
   "ACTIVE")</f>
        <v>ACTIVE</v>
      </c>
      <c r="O435" t="str">
        <f t="shared" si="27"/>
        <v>OK</v>
      </c>
    </row>
    <row r="436" spans="1:15" x14ac:dyDescent="0.2">
      <c r="A436">
        <f>Customers_0!A436</f>
        <v>20994</v>
      </c>
      <c r="B436" t="str">
        <f>IFERROR(MID(Customers_0!B436,1,SEARCH(",",Customers_0!B436)-1),Customers_0!B436)</f>
        <v>Fei Lu</v>
      </c>
      <c r="C436" t="str">
        <f t="shared" si="24"/>
        <v/>
      </c>
      <c r="D436" t="str">
        <f t="shared" si="25"/>
        <v/>
      </c>
      <c r="E436" t="str">
        <f t="shared" si="26"/>
        <v>Fei Lu</v>
      </c>
      <c r="N436" t="str">
        <f>IF(OR(ISNUMBER(SEARCH("weg",[1]Tabelle1!C436&amp;Customers_0!D436)),
          ISNUMBER(SEARCH("gekündigt",Customers_0!C436&amp;Customers_0!D436)),
          ISNUMBER(SEARCH("rente",LOWER(Customers_0!C436&amp;Customers_0!D436)))),
   "INACTIVE",
   "ACTIVE")</f>
        <v>ACTIVE</v>
      </c>
      <c r="O436" t="str">
        <f t="shared" si="27"/>
        <v>OK</v>
      </c>
    </row>
    <row r="437" spans="1:15" x14ac:dyDescent="0.2">
      <c r="A437">
        <f>Customers_0!A437</f>
        <v>20995</v>
      </c>
      <c r="B437" t="str">
        <f>IFERROR(MID(Customers_0!B437,1,SEARCH(",",Customers_0!B437)-1),Customers_0!B437)</f>
        <v>Dr. Kemmerich</v>
      </c>
      <c r="C437" t="str">
        <f t="shared" si="24"/>
        <v>Dr.</v>
      </c>
      <c r="D437" t="str">
        <f t="shared" si="25"/>
        <v/>
      </c>
      <c r="E437" t="str">
        <f t="shared" si="26"/>
        <v>Kemmerich</v>
      </c>
      <c r="N437" t="str">
        <f>IF(OR(ISNUMBER(SEARCH("weg",[1]Tabelle1!C437&amp;Customers_0!D437)),
          ISNUMBER(SEARCH("gekündigt",Customers_0!C437&amp;Customers_0!D437)),
          ISNUMBER(SEARCH("rente",LOWER(Customers_0!C437&amp;Customers_0!D437)))),
   "INACTIVE",
   "ACTIVE")</f>
        <v>ACTIVE</v>
      </c>
      <c r="O437" t="str">
        <f t="shared" si="27"/>
        <v>OK</v>
      </c>
    </row>
    <row r="438" spans="1:15" x14ac:dyDescent="0.2">
      <c r="A438">
        <f>Customers_0!A438</f>
        <v>20996</v>
      </c>
      <c r="B438" t="str">
        <f>IFERROR(MID(Customers_0!B438,1,SEARCH(",",Customers_0!B438)-1),Customers_0!B438)</f>
        <v>Pro Derma</v>
      </c>
      <c r="C438" t="str">
        <f t="shared" si="24"/>
        <v/>
      </c>
      <c r="D438" t="str">
        <f t="shared" si="25"/>
        <v/>
      </c>
      <c r="E438" t="str">
        <f t="shared" si="26"/>
        <v>Pro Derma</v>
      </c>
      <c r="N438" t="str">
        <f>IF(OR(ISNUMBER(SEARCH("weg",[1]Tabelle1!C438&amp;Customers_0!D438)),
          ISNUMBER(SEARCH("gekündigt",Customers_0!C438&amp;Customers_0!D438)),
          ISNUMBER(SEARCH("rente",LOWER(Customers_0!C438&amp;Customers_0!D438)))),
   "INACTIVE",
   "ACTIVE")</f>
        <v>ACTIVE</v>
      </c>
      <c r="O438" t="str">
        <f t="shared" si="27"/>
        <v>OK</v>
      </c>
    </row>
    <row r="439" spans="1:15" x14ac:dyDescent="0.2">
      <c r="A439">
        <f>Customers_0!A439</f>
        <v>20997</v>
      </c>
      <c r="B439" t="str">
        <f>IFERROR(MID(Customers_0!B439,1,SEARCH(",",Customers_0!B439)-1),Customers_0!B439)</f>
        <v>Dr. Riekenberg</v>
      </c>
      <c r="C439" t="str">
        <f t="shared" si="24"/>
        <v>Dr.</v>
      </c>
      <c r="D439" t="str">
        <f t="shared" si="25"/>
        <v/>
      </c>
      <c r="E439" t="str">
        <f t="shared" si="26"/>
        <v>Riekenberg</v>
      </c>
      <c r="N439" t="str">
        <f>IF(OR(ISNUMBER(SEARCH("weg",[1]Tabelle1!C439&amp;Customers_0!D439)),
          ISNUMBER(SEARCH("gekündigt",Customers_0!C439&amp;Customers_0!D439)),
          ISNUMBER(SEARCH("rente",LOWER(Customers_0!C439&amp;Customers_0!D439)))),
   "INACTIVE",
   "ACTIVE")</f>
        <v>ACTIVE</v>
      </c>
      <c r="O439" t="str">
        <f t="shared" si="27"/>
        <v>OK</v>
      </c>
    </row>
    <row r="440" spans="1:15" x14ac:dyDescent="0.2">
      <c r="A440">
        <f>Customers_0!A440</f>
        <v>20998</v>
      </c>
      <c r="B440" t="str">
        <f>IFERROR(MID(Customers_0!B440,1,SEARCH(",",Customers_0!B440)-1),Customers_0!B440)</f>
        <v>MVZ Ortenau Gengenbach</v>
      </c>
      <c r="C440" t="str">
        <f t="shared" si="24"/>
        <v/>
      </c>
      <c r="D440" t="str">
        <f t="shared" si="25"/>
        <v/>
      </c>
      <c r="E440" t="str">
        <f t="shared" si="26"/>
        <v>MVZ Ortenau Gengenbach</v>
      </c>
      <c r="N440" t="str">
        <f>IF(OR(ISNUMBER(SEARCH("weg",[1]Tabelle1!C440&amp;Customers_0!D440)),
          ISNUMBER(SEARCH("gekündigt",Customers_0!C440&amp;Customers_0!D440)),
          ISNUMBER(SEARCH("rente",LOWER(Customers_0!C440&amp;Customers_0!D440)))),
   "INACTIVE",
   "ACTIVE")</f>
        <v>ACTIVE</v>
      </c>
      <c r="O440" t="str">
        <f t="shared" si="27"/>
        <v>OK</v>
      </c>
    </row>
    <row r="441" spans="1:15" x14ac:dyDescent="0.2">
      <c r="A441">
        <f>Customers_0!A441</f>
        <v>20999</v>
      </c>
      <c r="B441" t="str">
        <f>IFERROR(MID(Customers_0!B441,1,SEARCH(",",Customers_0!B441)-1),Customers_0!B441)</f>
        <v>Dr. H.Neuwinger</v>
      </c>
      <c r="C441" t="str">
        <f t="shared" si="24"/>
        <v>Dr.</v>
      </c>
      <c r="D441" t="str">
        <f t="shared" si="25"/>
        <v>H.</v>
      </c>
      <c r="E441" t="str">
        <f t="shared" si="26"/>
        <v>euwinger</v>
      </c>
      <c r="N441" t="str">
        <f>IF(OR(ISNUMBER(SEARCH("weg",[1]Tabelle1!C441&amp;Customers_0!D441)),
          ISNUMBER(SEARCH("gekündigt",Customers_0!C441&amp;Customers_0!D441)),
          ISNUMBER(SEARCH("rente",LOWER(Customers_0!C441&amp;Customers_0!D441)))),
   "INACTIVE",
   "ACTIVE")</f>
        <v>ACTIVE</v>
      </c>
      <c r="O441" t="str">
        <f t="shared" si="27"/>
        <v>OK</v>
      </c>
    </row>
    <row r="442" spans="1:15" x14ac:dyDescent="0.2">
      <c r="A442">
        <f>Customers_0!A442</f>
        <v>21000</v>
      </c>
      <c r="B442" t="str">
        <f>IFERROR(MID(Customers_0!B442,1,SEARCH(",",Customers_0!B442)-1),Customers_0!B442)</f>
        <v>Lennart Walker</v>
      </c>
      <c r="C442" t="str">
        <f t="shared" si="24"/>
        <v/>
      </c>
      <c r="D442" t="str">
        <f t="shared" si="25"/>
        <v/>
      </c>
      <c r="E442" t="str">
        <f t="shared" si="26"/>
        <v>Lennart Walker</v>
      </c>
      <c r="N442" t="str">
        <f>IF(OR(ISNUMBER(SEARCH("weg",[1]Tabelle1!C442&amp;Customers_0!D442)),
          ISNUMBER(SEARCH("gekündigt",Customers_0!C442&amp;Customers_0!D442)),
          ISNUMBER(SEARCH("rente",LOWER(Customers_0!C442&amp;Customers_0!D442)))),
   "INACTIVE",
   "ACTIVE")</f>
        <v>ACTIVE</v>
      </c>
      <c r="O442" t="str">
        <f t="shared" si="27"/>
        <v>OK</v>
      </c>
    </row>
    <row r="443" spans="1:15" x14ac:dyDescent="0.2">
      <c r="A443">
        <f>Customers_0!A443</f>
        <v>21001</v>
      </c>
      <c r="B443" t="str">
        <f>IFERROR(MID(Customers_0!B443,1,SEARCH(",",Customers_0!B443)-1),Customers_0!B443)</f>
        <v>Praxis Sandstr.</v>
      </c>
      <c r="C443" t="str">
        <f t="shared" si="24"/>
        <v/>
      </c>
      <c r="D443" t="str">
        <f t="shared" si="25"/>
        <v/>
      </c>
      <c r="E443" t="str">
        <f t="shared" si="26"/>
        <v>Praxis Sandstr.</v>
      </c>
      <c r="N443" t="str">
        <f>IF(OR(ISNUMBER(SEARCH("weg",[1]Tabelle1!C443&amp;Customers_0!D443)),
          ISNUMBER(SEARCH("gekündigt",Customers_0!C443&amp;Customers_0!D443)),
          ISNUMBER(SEARCH("rente",LOWER(Customers_0!C443&amp;Customers_0!D443)))),
   "INACTIVE",
   "ACTIVE")</f>
        <v>ACTIVE</v>
      </c>
      <c r="O443" t="str">
        <f t="shared" si="27"/>
        <v>OK</v>
      </c>
    </row>
    <row r="444" spans="1:15" x14ac:dyDescent="0.2">
      <c r="A444">
        <f>Customers_0!A444</f>
        <v>21002</v>
      </c>
      <c r="B444" t="str">
        <f>IFERROR(MID(Customers_0!B444,1,SEARCH(",",Customers_0!B444)-1),Customers_0!B444)</f>
        <v>Christiane Lenzen</v>
      </c>
      <c r="C444" t="str">
        <f t="shared" si="24"/>
        <v/>
      </c>
      <c r="D444" t="str">
        <f t="shared" si="25"/>
        <v/>
      </c>
      <c r="E444" t="str">
        <f t="shared" si="26"/>
        <v>Christiane Lenzen</v>
      </c>
      <c r="N444" t="str">
        <f>IF(OR(ISNUMBER(SEARCH("weg",[1]Tabelle1!C444&amp;Customers_0!D444)),
          ISNUMBER(SEARCH("gekündigt",Customers_0!C444&amp;Customers_0!D444)),
          ISNUMBER(SEARCH("rente",LOWER(Customers_0!C444&amp;Customers_0!D444)))),
   "INACTIVE",
   "ACTIVE")</f>
        <v>ACTIVE</v>
      </c>
      <c r="O444" t="str">
        <f t="shared" si="27"/>
        <v>OK</v>
      </c>
    </row>
    <row r="445" spans="1:15" x14ac:dyDescent="0.2">
      <c r="A445">
        <f>Customers_0!A445</f>
        <v>21003</v>
      </c>
      <c r="B445" t="str">
        <f>IFERROR(MID(Customers_0!B445,1,SEARCH(",",Customers_0!B445)-1),Customers_0!B445)</f>
        <v xml:space="preserve">Dr. Ostovic </v>
      </c>
      <c r="C445" t="str">
        <f t="shared" si="24"/>
        <v>Dr.</v>
      </c>
      <c r="D445" t="str">
        <f t="shared" si="25"/>
        <v/>
      </c>
      <c r="E445" t="str">
        <f t="shared" si="26"/>
        <v>Ostovic</v>
      </c>
      <c r="N445" t="str">
        <f>IF(OR(ISNUMBER(SEARCH("weg",[1]Tabelle1!C445&amp;Customers_0!D445)),
          ISNUMBER(SEARCH("gekündigt",Customers_0!C445&amp;Customers_0!D445)),
          ISNUMBER(SEARCH("rente",LOWER(Customers_0!C445&amp;Customers_0!D445)))),
   "INACTIVE",
   "ACTIVE")</f>
        <v>ACTIVE</v>
      </c>
      <c r="O445" t="str">
        <f t="shared" si="27"/>
        <v>OK</v>
      </c>
    </row>
    <row r="446" spans="1:15" x14ac:dyDescent="0.2">
      <c r="A446">
        <f>Customers_0!A446</f>
        <v>21004</v>
      </c>
      <c r="B446" t="str">
        <f>IFERROR(MID(Customers_0!B446,1,SEARCH(",",Customers_0!B446)-1),Customers_0!B446)</f>
        <v>Merkel</v>
      </c>
      <c r="C446" t="str">
        <f t="shared" si="24"/>
        <v/>
      </c>
      <c r="D446" t="str">
        <f t="shared" si="25"/>
        <v/>
      </c>
      <c r="E446" t="str">
        <f t="shared" si="26"/>
        <v>Merkel</v>
      </c>
      <c r="N446" t="str">
        <f>IF(OR(ISNUMBER(SEARCH("weg",[1]Tabelle1!C446&amp;Customers_0!D446)),
          ISNUMBER(SEARCH("gekündigt",Customers_0!C446&amp;Customers_0!D446)),
          ISNUMBER(SEARCH("rente",LOWER(Customers_0!C446&amp;Customers_0!D446)))),
   "INACTIVE",
   "ACTIVE")</f>
        <v>ACTIVE</v>
      </c>
      <c r="O446" t="str">
        <f t="shared" si="27"/>
        <v>OK</v>
      </c>
    </row>
    <row r="447" spans="1:15" x14ac:dyDescent="0.2">
      <c r="A447">
        <f>Customers_0!A447</f>
        <v>21005</v>
      </c>
      <c r="B447" t="str">
        <f>IFERROR(MID(Customers_0!B447,1,SEARCH(",",Customers_0!B447)-1),Customers_0!B447)</f>
        <v>Dres.Peter/ Werner</v>
      </c>
      <c r="C447" t="str">
        <f t="shared" si="24"/>
        <v>Dres.Peter/</v>
      </c>
      <c r="D447" t="str">
        <f t="shared" si="25"/>
        <v/>
      </c>
      <c r="E447" t="str">
        <f t="shared" si="26"/>
        <v>Werner</v>
      </c>
      <c r="N447" t="str">
        <f>IF(OR(ISNUMBER(SEARCH("weg",[1]Tabelle1!C447&amp;Customers_0!D447)),
          ISNUMBER(SEARCH("gekündigt",Customers_0!C447&amp;Customers_0!D447)),
          ISNUMBER(SEARCH("rente",LOWER(Customers_0!C447&amp;Customers_0!D447)))),
   "INACTIVE",
   "ACTIVE")</f>
        <v>INACTIVE</v>
      </c>
      <c r="O447" t="str">
        <f t="shared" si="27"/>
        <v>OK</v>
      </c>
    </row>
    <row r="448" spans="1:15" x14ac:dyDescent="0.2">
      <c r="A448">
        <f>Customers_0!A448</f>
        <v>21006</v>
      </c>
      <c r="B448" t="str">
        <f>IFERROR(MID(Customers_0!B448,1,SEARCH(",",Customers_0!B448)-1),Customers_0!B448)</f>
        <v>Dr.Gjihollaj</v>
      </c>
      <c r="C448" t="str">
        <f t="shared" si="24"/>
        <v/>
      </c>
      <c r="D448" t="str">
        <f t="shared" si="25"/>
        <v/>
      </c>
      <c r="E448" t="str">
        <f t="shared" si="26"/>
        <v>Dr.Gjihollaj</v>
      </c>
      <c r="N448" t="str">
        <f>IF(OR(ISNUMBER(SEARCH("weg",[1]Tabelle1!C448&amp;Customers_0!D448)),
          ISNUMBER(SEARCH("gekündigt",Customers_0!C448&amp;Customers_0!D448)),
          ISNUMBER(SEARCH("rente",LOWER(Customers_0!C448&amp;Customers_0!D448)))),
   "INACTIVE",
   "ACTIVE")</f>
        <v>INACTIVE</v>
      </c>
      <c r="O448" t="str">
        <f t="shared" si="27"/>
        <v>OK</v>
      </c>
    </row>
    <row r="449" spans="1:15" x14ac:dyDescent="0.2">
      <c r="A449">
        <f>Customers_0!A449</f>
        <v>21007</v>
      </c>
      <c r="B449" t="str">
        <f>IFERROR(MID(Customers_0!B449,1,SEARCH(",",Customers_0!B449)-1),Customers_0!B449)</f>
        <v>Dr. Günther</v>
      </c>
      <c r="C449" t="str">
        <f t="shared" si="24"/>
        <v>Dr.</v>
      </c>
      <c r="D449" t="str">
        <f t="shared" si="25"/>
        <v/>
      </c>
      <c r="E449" t="str">
        <f t="shared" si="26"/>
        <v>Günther</v>
      </c>
      <c r="N449" t="str">
        <f>IF(OR(ISNUMBER(SEARCH("weg",[1]Tabelle1!C449&amp;Customers_0!D449)),
          ISNUMBER(SEARCH("gekündigt",Customers_0!C449&amp;Customers_0!D449)),
          ISNUMBER(SEARCH("rente",LOWER(Customers_0!C449&amp;Customers_0!D449)))),
   "INACTIVE",
   "ACTIVE")</f>
        <v>ACTIVE</v>
      </c>
      <c r="O449" t="str">
        <f t="shared" si="27"/>
        <v>OK</v>
      </c>
    </row>
    <row r="450" spans="1:15" x14ac:dyDescent="0.2">
      <c r="A450">
        <f>Customers_0!A450</f>
        <v>21008</v>
      </c>
      <c r="B450" t="str">
        <f>IFERROR(MID(Customers_0!B450,1,SEARCH(",",Customers_0!B450)-1),Customers_0!B450)</f>
        <v xml:space="preserve">Dr. Hädicke </v>
      </c>
      <c r="C450" t="str">
        <f t="shared" ref="C450:C475" si="28">IFERROR(
 IF(OR(
   LEFT(B450,3)="Dr.",
   LEFT(B450,2)="Dr",
   LEFT(B450,4)="Dres",
   LEFT(B450,5)="Dres.",
   LEFT(B450,4)="Prof",
   LEFT(B450,5)="Prof.",
   LEFT(B450,3)="PD ",
   LEFT(B450,7)="Priv.-D"
 ),
  LEFT(B450,SEARCH(" ",B450)-1),
  ""
 ),
"")</f>
        <v>Dr.</v>
      </c>
      <c r="D450" t="str">
        <f t="shared" ref="D450:D475" si="29">IFERROR(
 IF(C450="",
  "",
  IF(ISNUMBER(SEARCH(".",MID(B450,LEN(C450)+2,3))),
    MID(B450,LEN(C450)+2,2),
    ""
  )
 ),
"")</f>
        <v/>
      </c>
      <c r="E450" t="str">
        <f t="shared" ref="E450:E475" si="30">IFERROR(
 TRIM(
   IF(C450="",
        IF(ISNUMBER(SEARCH(",",B450)), LEFT(B450,SEARCH(",",B450)-1), B450),
        IF(D450="",
             TRIM(MID(B450, LEN(C450)+2, 999)),
             TRIM(MID(B450, LEN(C450&amp;" "&amp;D450)+2, 999))
        )
   )
 ),
""
)</f>
        <v>Hädicke</v>
      </c>
      <c r="N450" t="str">
        <f>IF(OR(ISNUMBER(SEARCH("weg",[1]Tabelle1!C450&amp;Customers_0!D450)),
          ISNUMBER(SEARCH("gekündigt",Customers_0!C450&amp;Customers_0!D450)),
          ISNUMBER(SEARCH("rente",LOWER(Customers_0!C450&amp;Customers_0!D450)))),
   "INACTIVE",
   "ACTIVE")</f>
        <v>INACTIVE</v>
      </c>
      <c r="O450" t="str">
        <f t="shared" ref="O450:O475" si="31">IF(OR(
   ISERROR(D450),
   ISERROR(E450),
   ISNUMBER(SEARCH("/",E450)),
   ISNUMBER(SEARCH("-",E450))
 ),"PRÜFEN","OK")</f>
        <v>OK</v>
      </c>
    </row>
    <row r="451" spans="1:15" x14ac:dyDescent="0.2">
      <c r="A451">
        <f>Customers_0!A451</f>
        <v>21009</v>
      </c>
      <c r="B451" t="str">
        <f>IFERROR(MID(Customers_0!B451,1,SEARCH(",",Customers_0!B451)-1),Customers_0!B451)</f>
        <v>A.Blumenberg</v>
      </c>
      <c r="C451" t="str">
        <f t="shared" si="28"/>
        <v/>
      </c>
      <c r="D451" t="str">
        <f t="shared" si="29"/>
        <v/>
      </c>
      <c r="E451" t="str">
        <f t="shared" si="30"/>
        <v>A.Blumenberg</v>
      </c>
      <c r="N451" t="str">
        <f>IF(OR(ISNUMBER(SEARCH("weg",[1]Tabelle1!C451&amp;Customers_0!D451)),
          ISNUMBER(SEARCH("gekündigt",Customers_0!C451&amp;Customers_0!D451)),
          ISNUMBER(SEARCH("rente",LOWER(Customers_0!C451&amp;Customers_0!D451)))),
   "INACTIVE",
   "ACTIVE")</f>
        <v>ACTIVE</v>
      </c>
      <c r="O451" t="str">
        <f t="shared" si="31"/>
        <v>OK</v>
      </c>
    </row>
    <row r="452" spans="1:15" x14ac:dyDescent="0.2">
      <c r="A452">
        <f>Customers_0!A452</f>
        <v>21010</v>
      </c>
      <c r="B452" t="str">
        <f>IFERROR(MID(Customers_0!B452,1,SEARCH(",",Customers_0!B452)-1),Customers_0!B452)</f>
        <v>Augenlaser Pfalz</v>
      </c>
      <c r="C452" t="str">
        <f t="shared" si="28"/>
        <v/>
      </c>
      <c r="D452" t="str">
        <f t="shared" si="29"/>
        <v/>
      </c>
      <c r="E452" t="str">
        <f t="shared" si="30"/>
        <v>Augenlaser Pfalz</v>
      </c>
      <c r="N452" t="str">
        <f>IF(OR(ISNUMBER(SEARCH("weg",[1]Tabelle1!C452&amp;Customers_0!D452)),
          ISNUMBER(SEARCH("gekündigt",Customers_0!C452&amp;Customers_0!D452)),
          ISNUMBER(SEARCH("rente",LOWER(Customers_0!C452&amp;Customers_0!D452)))),
   "INACTIVE",
   "ACTIVE")</f>
        <v>ACTIVE</v>
      </c>
      <c r="O452" t="str">
        <f t="shared" si="31"/>
        <v>OK</v>
      </c>
    </row>
    <row r="453" spans="1:15" x14ac:dyDescent="0.2">
      <c r="A453">
        <f>Customers_0!A453</f>
        <v>21011</v>
      </c>
      <c r="B453" t="str">
        <f>IFERROR(MID(Customers_0!B453,1,SEARCH(",",Customers_0!B453)-1),Customers_0!B453)</f>
        <v>Buderer Group</v>
      </c>
      <c r="C453" t="str">
        <f t="shared" si="28"/>
        <v/>
      </c>
      <c r="D453" t="str">
        <f t="shared" si="29"/>
        <v/>
      </c>
      <c r="E453" t="str">
        <f t="shared" si="30"/>
        <v>Buderer Group</v>
      </c>
      <c r="N453" t="str">
        <f>IF(OR(ISNUMBER(SEARCH("weg",[1]Tabelle1!C453&amp;Customers_0!D453)),
          ISNUMBER(SEARCH("gekündigt",Customers_0!C453&amp;Customers_0!D453)),
          ISNUMBER(SEARCH("rente",LOWER(Customers_0!C453&amp;Customers_0!D453)))),
   "INACTIVE",
   "ACTIVE")</f>
        <v>ACTIVE</v>
      </c>
      <c r="O453" t="str">
        <f t="shared" si="31"/>
        <v>OK</v>
      </c>
    </row>
    <row r="454" spans="1:15" x14ac:dyDescent="0.2">
      <c r="A454">
        <f>Customers_0!A454</f>
        <v>21012</v>
      </c>
      <c r="B454" t="str">
        <f>IFERROR(MID(Customers_0!B454,1,SEARCH(",",Customers_0!B454)-1),Customers_0!B454)</f>
        <v>Buderer Group</v>
      </c>
      <c r="C454" t="str">
        <f t="shared" si="28"/>
        <v/>
      </c>
      <c r="D454" t="str">
        <f t="shared" si="29"/>
        <v/>
      </c>
      <c r="E454" t="str">
        <f t="shared" si="30"/>
        <v>Buderer Group</v>
      </c>
      <c r="N454" t="str">
        <f>IF(OR(ISNUMBER(SEARCH("weg",[1]Tabelle1!C454&amp;Customers_0!D454)),
          ISNUMBER(SEARCH("gekündigt",Customers_0!C454&amp;Customers_0!D454)),
          ISNUMBER(SEARCH("rente",LOWER(Customers_0!C454&amp;Customers_0!D454)))),
   "INACTIVE",
   "ACTIVE")</f>
        <v>ACTIVE</v>
      </c>
      <c r="O454" t="str">
        <f t="shared" si="31"/>
        <v>OK</v>
      </c>
    </row>
    <row r="455" spans="1:15" x14ac:dyDescent="0.2">
      <c r="A455">
        <f>Customers_0!A455</f>
        <v>21013</v>
      </c>
      <c r="B455" t="str">
        <f>IFERROR(MID(Customers_0!B455,1,SEARCH(",",Customers_0!B455)-1),Customers_0!B455)</f>
        <v>Dr. Zieger</v>
      </c>
      <c r="C455" t="str">
        <f t="shared" si="28"/>
        <v>Dr.</v>
      </c>
      <c r="D455" t="str">
        <f t="shared" si="29"/>
        <v/>
      </c>
      <c r="E455" t="str">
        <f t="shared" si="30"/>
        <v>Zieger</v>
      </c>
      <c r="N455" t="str">
        <f>IF(OR(ISNUMBER(SEARCH("weg",[1]Tabelle1!C455&amp;Customers_0!D455)),
          ISNUMBER(SEARCH("gekündigt",Customers_0!C455&amp;Customers_0!D455)),
          ISNUMBER(SEARCH("rente",LOWER(Customers_0!C455&amp;Customers_0!D455)))),
   "INACTIVE",
   "ACTIVE")</f>
        <v>ACTIVE</v>
      </c>
      <c r="O455" t="str">
        <f t="shared" si="31"/>
        <v>OK</v>
      </c>
    </row>
    <row r="456" spans="1:15" x14ac:dyDescent="0.2">
      <c r="A456">
        <f>Customers_0!A456</f>
        <v>21014</v>
      </c>
      <c r="B456" t="str">
        <f>IFERROR(MID(Customers_0!B456,1,SEARCH(",",Customers_0!B456)-1),Customers_0!B456)</f>
        <v>Drs.Curschmann</v>
      </c>
      <c r="C456" t="str">
        <f t="shared" si="28"/>
        <v/>
      </c>
      <c r="D456" t="str">
        <f t="shared" si="29"/>
        <v/>
      </c>
      <c r="E456" t="str">
        <f t="shared" si="30"/>
        <v>Drs.Curschmann</v>
      </c>
      <c r="N456" t="str">
        <f>IF(OR(ISNUMBER(SEARCH("weg",[1]Tabelle1!C456&amp;Customers_0!D456)),
          ISNUMBER(SEARCH("gekündigt",Customers_0!C456&amp;Customers_0!D456)),
          ISNUMBER(SEARCH("rente",LOWER(Customers_0!C456&amp;Customers_0!D456)))),
   "INACTIVE",
   "ACTIVE")</f>
        <v>ACTIVE</v>
      </c>
      <c r="O456" t="str">
        <f t="shared" si="31"/>
        <v>OK</v>
      </c>
    </row>
    <row r="457" spans="1:15" x14ac:dyDescent="0.2">
      <c r="A457">
        <f>Customers_0!A457</f>
        <v>21015</v>
      </c>
      <c r="B457" t="str">
        <f>IFERROR(MID(Customers_0!B457,1,SEARCH(",",Customers_0!B457)-1),Customers_0!B457)</f>
        <v>Nickel/ Dombach</v>
      </c>
      <c r="C457" t="str">
        <f t="shared" si="28"/>
        <v/>
      </c>
      <c r="D457" t="str">
        <f t="shared" si="29"/>
        <v/>
      </c>
      <c r="E457" t="str">
        <f t="shared" si="30"/>
        <v>Nickel/ Dombach</v>
      </c>
      <c r="N457" t="str">
        <f>IF(OR(ISNUMBER(SEARCH("weg",[1]Tabelle1!C457&amp;Customers_0!D457)),
          ISNUMBER(SEARCH("gekündigt",Customers_0!C457&amp;Customers_0!D457)),
          ISNUMBER(SEARCH("rente",LOWER(Customers_0!C457&amp;Customers_0!D457)))),
   "INACTIVE",
   "ACTIVE")</f>
        <v>ACTIVE</v>
      </c>
      <c r="O457" t="str">
        <f t="shared" si="31"/>
        <v>PRÜFEN</v>
      </c>
    </row>
    <row r="458" spans="1:15" x14ac:dyDescent="0.2">
      <c r="A458">
        <f>Customers_0!A458</f>
        <v>21016</v>
      </c>
      <c r="B458" t="str">
        <f>IFERROR(MID(Customers_0!B458,1,SEARCH(",",Customers_0!B458)-1),Customers_0!B458)</f>
        <v>Dr. Philipp</v>
      </c>
      <c r="C458" t="str">
        <f t="shared" si="28"/>
        <v>Dr.</v>
      </c>
      <c r="D458" t="str">
        <f t="shared" si="29"/>
        <v/>
      </c>
      <c r="E458" t="str">
        <f t="shared" si="30"/>
        <v>Philipp</v>
      </c>
      <c r="N458" t="str">
        <f>IF(OR(ISNUMBER(SEARCH("weg",[1]Tabelle1!C458&amp;Customers_0!D458)),
          ISNUMBER(SEARCH("gekündigt",Customers_0!C458&amp;Customers_0!D458)),
          ISNUMBER(SEARCH("rente",LOWER(Customers_0!C458&amp;Customers_0!D458)))),
   "INACTIVE",
   "ACTIVE")</f>
        <v>ACTIVE</v>
      </c>
      <c r="O458" t="str">
        <f t="shared" si="31"/>
        <v>OK</v>
      </c>
    </row>
    <row r="459" spans="1:15" x14ac:dyDescent="0.2">
      <c r="A459">
        <f>Customers_0!A459</f>
        <v>21017</v>
      </c>
      <c r="B459" t="str">
        <f>IFERROR(MID(Customers_0!B459,1,SEARCH(",",Customers_0!B459)-1),Customers_0!B459)</f>
        <v>MVZ Buderer</v>
      </c>
      <c r="C459" t="str">
        <f t="shared" si="28"/>
        <v/>
      </c>
      <c r="D459" t="str">
        <f t="shared" si="29"/>
        <v/>
      </c>
      <c r="E459" t="str">
        <f t="shared" si="30"/>
        <v>MVZ Buderer</v>
      </c>
      <c r="N459" t="str">
        <f>IF(OR(ISNUMBER(SEARCH("weg",[1]Tabelle1!C459&amp;Customers_0!D459)),
          ISNUMBER(SEARCH("gekündigt",Customers_0!C459&amp;Customers_0!D459)),
          ISNUMBER(SEARCH("rente",LOWER(Customers_0!C459&amp;Customers_0!D459)))),
   "INACTIVE",
   "ACTIVE")</f>
        <v>ACTIVE</v>
      </c>
      <c r="O459" t="str">
        <f t="shared" si="31"/>
        <v>OK</v>
      </c>
    </row>
    <row r="460" spans="1:15" x14ac:dyDescent="0.2">
      <c r="A460">
        <f>Customers_0!A460</f>
        <v>21018</v>
      </c>
      <c r="B460" t="str">
        <f>IFERROR(MID(Customers_0!B460,1,SEARCH(",",Customers_0!B460)-1),Customers_0!B460)</f>
        <v>MVZ Buderer</v>
      </c>
      <c r="C460" t="str">
        <f t="shared" si="28"/>
        <v/>
      </c>
      <c r="D460" t="str">
        <f t="shared" si="29"/>
        <v/>
      </c>
      <c r="E460" t="str">
        <f t="shared" si="30"/>
        <v>MVZ Buderer</v>
      </c>
      <c r="N460" t="str">
        <f>IF(OR(ISNUMBER(SEARCH("weg",[1]Tabelle1!C460&amp;Customers_0!D460)),
          ISNUMBER(SEARCH("gekündigt",Customers_0!C460&amp;Customers_0!D460)),
          ISNUMBER(SEARCH("rente",LOWER(Customers_0!C460&amp;Customers_0!D460)))),
   "INACTIVE",
   "ACTIVE")</f>
        <v>ACTIVE</v>
      </c>
      <c r="O460" t="str">
        <f t="shared" si="31"/>
        <v>OK</v>
      </c>
    </row>
    <row r="461" spans="1:15" x14ac:dyDescent="0.2">
      <c r="A461">
        <f>Customers_0!A461</f>
        <v>21019</v>
      </c>
      <c r="B461" t="str">
        <f>IFERROR(MID(Customers_0!B461,1,SEARCH(",",Customers_0!B461)-1),Customers_0!B461)</f>
        <v>Dr. Waidelich</v>
      </c>
      <c r="C461" t="str">
        <f t="shared" si="28"/>
        <v>Dr.</v>
      </c>
      <c r="D461" t="str">
        <f t="shared" si="29"/>
        <v/>
      </c>
      <c r="E461" t="str">
        <f t="shared" si="30"/>
        <v>Waidelich</v>
      </c>
      <c r="N461" t="str">
        <f>IF(OR(ISNUMBER(SEARCH("weg",[1]Tabelle1!C461&amp;Customers_0!D461)),
          ISNUMBER(SEARCH("gekündigt",Customers_0!C461&amp;Customers_0!D461)),
          ISNUMBER(SEARCH("rente",LOWER(Customers_0!C461&amp;Customers_0!D461)))),
   "INACTIVE",
   "ACTIVE")</f>
        <v>ACTIVE</v>
      </c>
      <c r="O461" t="str">
        <f t="shared" si="31"/>
        <v>OK</v>
      </c>
    </row>
    <row r="462" spans="1:15" x14ac:dyDescent="0.2">
      <c r="A462">
        <f>Customers_0!A462</f>
        <v>21020</v>
      </c>
      <c r="B462" t="str">
        <f>IFERROR(MID(Customers_0!B462,1,SEARCH(",",Customers_0!B462)-1),Customers_0!B462)</f>
        <v>Sophienklinik</v>
      </c>
      <c r="C462" t="str">
        <f t="shared" si="28"/>
        <v/>
      </c>
      <c r="D462" t="str">
        <f t="shared" si="29"/>
        <v/>
      </c>
      <c r="E462" t="str">
        <f t="shared" si="30"/>
        <v>Sophienklinik</v>
      </c>
      <c r="N462" t="str">
        <f>IF(OR(ISNUMBER(SEARCH("weg",[1]Tabelle1!C462&amp;Customers_0!D462)),
          ISNUMBER(SEARCH("gekündigt",Customers_0!C462&amp;Customers_0!D462)),
          ISNUMBER(SEARCH("rente",LOWER(Customers_0!C462&amp;Customers_0!D462)))),
   "INACTIVE",
   "ACTIVE")</f>
        <v>INACTIVE</v>
      </c>
      <c r="O462" t="str">
        <f t="shared" si="31"/>
        <v>OK</v>
      </c>
    </row>
    <row r="463" spans="1:15" x14ac:dyDescent="0.2">
      <c r="A463">
        <f>Customers_0!A463</f>
        <v>21021</v>
      </c>
      <c r="B463" t="str">
        <f>IFERROR(MID(Customers_0!B463,1,SEARCH(",",Customers_0!B463)-1),Customers_0!B463)</f>
        <v xml:space="preserve">Dr. Feise </v>
      </c>
      <c r="C463" t="str">
        <f t="shared" si="28"/>
        <v>Dr.</v>
      </c>
      <c r="D463" t="str">
        <f t="shared" si="29"/>
        <v/>
      </c>
      <c r="E463" t="str">
        <f t="shared" si="30"/>
        <v>Feise</v>
      </c>
      <c r="N463" t="str">
        <f>IF(OR(ISNUMBER(SEARCH("weg",[1]Tabelle1!C463&amp;Customers_0!D463)),
          ISNUMBER(SEARCH("gekündigt",Customers_0!C463&amp;Customers_0!D463)),
          ISNUMBER(SEARCH("rente",LOWER(Customers_0!C463&amp;Customers_0!D463)))),
   "INACTIVE",
   "ACTIVE")</f>
        <v>INACTIVE</v>
      </c>
      <c r="O463" t="str">
        <f t="shared" si="31"/>
        <v>OK</v>
      </c>
    </row>
    <row r="464" spans="1:15" x14ac:dyDescent="0.2">
      <c r="A464">
        <f>Customers_0!A464</f>
        <v>21022</v>
      </c>
      <c r="B464" t="str">
        <f>IFERROR(MID(Customers_0!B464,1,SEARCH(",",Customers_0!B464)-1),Customers_0!B464)</f>
        <v>Dr. Wildi</v>
      </c>
      <c r="C464" t="str">
        <f t="shared" si="28"/>
        <v>Dr.</v>
      </c>
      <c r="D464" t="str">
        <f t="shared" si="29"/>
        <v/>
      </c>
      <c r="E464" t="str">
        <f t="shared" si="30"/>
        <v>Wildi</v>
      </c>
      <c r="N464" t="str">
        <f>IF(OR(ISNUMBER(SEARCH("weg",[1]Tabelle1!C464&amp;Customers_0!D464)),
          ISNUMBER(SEARCH("gekündigt",Customers_0!C464&amp;Customers_0!D464)),
          ISNUMBER(SEARCH("rente",LOWER(Customers_0!C464&amp;Customers_0!D464)))),
   "INACTIVE",
   "ACTIVE")</f>
        <v>ACTIVE</v>
      </c>
      <c r="O464" t="str">
        <f t="shared" si="31"/>
        <v>OK</v>
      </c>
    </row>
    <row r="465" spans="1:15" x14ac:dyDescent="0.2">
      <c r="A465">
        <f>Customers_0!A465</f>
        <v>21023</v>
      </c>
      <c r="B465" t="str">
        <f>IFERROR(MID(Customers_0!B465,1,SEARCH(",",Customers_0!B465)-1),Customers_0!B465)</f>
        <v>Dr. Kock</v>
      </c>
      <c r="C465" t="str">
        <f t="shared" si="28"/>
        <v>Dr.</v>
      </c>
      <c r="D465" t="str">
        <f t="shared" si="29"/>
        <v/>
      </c>
      <c r="E465" t="str">
        <f t="shared" si="30"/>
        <v>Kock</v>
      </c>
      <c r="N465" t="str">
        <f>IF(OR(ISNUMBER(SEARCH("weg",[1]Tabelle1!C465&amp;Customers_0!D465)),
          ISNUMBER(SEARCH("gekündigt",Customers_0!C465&amp;Customers_0!D465)),
          ISNUMBER(SEARCH("rente",LOWER(Customers_0!C465&amp;Customers_0!D465)))),
   "INACTIVE",
   "ACTIVE")</f>
        <v>ACTIVE</v>
      </c>
      <c r="O465" t="str">
        <f t="shared" si="31"/>
        <v>OK</v>
      </c>
    </row>
    <row r="466" spans="1:15" x14ac:dyDescent="0.2">
      <c r="A466">
        <f>Customers_0!A466</f>
        <v>21024</v>
      </c>
      <c r="B466" t="str">
        <f>IFERROR(MID(Customers_0!B466,1,SEARCH(",",Customers_0!B466)-1),Customers_0!B466)</f>
        <v>Tierärzte Gaisbeuren</v>
      </c>
      <c r="C466" t="str">
        <f t="shared" si="28"/>
        <v/>
      </c>
      <c r="D466" t="str">
        <f t="shared" si="29"/>
        <v/>
      </c>
      <c r="E466" t="str">
        <f t="shared" si="30"/>
        <v>Tierärzte Gaisbeuren</v>
      </c>
      <c r="N466" t="str">
        <f>IF(OR(ISNUMBER(SEARCH("weg",[1]Tabelle1!C466&amp;Customers_0!D466)),
          ISNUMBER(SEARCH("gekündigt",Customers_0!C466&amp;Customers_0!D466)),
          ISNUMBER(SEARCH("rente",LOWER(Customers_0!C466&amp;Customers_0!D466)))),
   "INACTIVE",
   "ACTIVE")</f>
        <v>ACTIVE</v>
      </c>
      <c r="O466" t="str">
        <f t="shared" si="31"/>
        <v>OK</v>
      </c>
    </row>
    <row r="467" spans="1:15" x14ac:dyDescent="0.2">
      <c r="A467">
        <f>Customers_0!A467</f>
        <v>21025</v>
      </c>
      <c r="B467" t="str">
        <f>IFERROR(MID(Customers_0!B467,1,SEARCH(",",Customers_0!B467)-1),Customers_0!B467)</f>
        <v>Gerhard Tolksdorf</v>
      </c>
      <c r="C467" t="str">
        <f t="shared" si="28"/>
        <v/>
      </c>
      <c r="D467" t="str">
        <f t="shared" si="29"/>
        <v/>
      </c>
      <c r="E467" t="str">
        <f t="shared" si="30"/>
        <v>Gerhard Tolksdorf</v>
      </c>
      <c r="N467" t="str">
        <f>IF(OR(ISNUMBER(SEARCH("weg",[1]Tabelle1!C467&amp;Customers_0!D467)),
          ISNUMBER(SEARCH("gekündigt",Customers_0!C467&amp;Customers_0!D467)),
          ISNUMBER(SEARCH("rente",LOWER(Customers_0!C467&amp;Customers_0!D467)))),
   "INACTIVE",
   "ACTIVE")</f>
        <v>ACTIVE</v>
      </c>
      <c r="O467" t="str">
        <f t="shared" si="31"/>
        <v>OK</v>
      </c>
    </row>
    <row r="468" spans="1:15" x14ac:dyDescent="0.2">
      <c r="A468">
        <f>Customers_0!A468</f>
        <v>21026</v>
      </c>
      <c r="B468" t="str">
        <f>IFERROR(MID(Customers_0!B468,1,SEARCH(",",Customers_0!B468)-1),Customers_0!B468)</f>
        <v>Annette Kutzner &amp; Dr. med. Marion Rogoß</v>
      </c>
      <c r="C468" t="str">
        <f t="shared" si="28"/>
        <v/>
      </c>
      <c r="D468" t="str">
        <f t="shared" si="29"/>
        <v/>
      </c>
      <c r="E468" t="str">
        <f t="shared" si="30"/>
        <v>Annette Kutzner &amp; Dr. med. Marion Rogoß</v>
      </c>
      <c r="N468" t="str">
        <f>IF(OR(ISNUMBER(SEARCH("weg",[1]Tabelle1!C468&amp;Customers_0!D468)),
          ISNUMBER(SEARCH("gekündigt",Customers_0!C468&amp;Customers_0!D468)),
          ISNUMBER(SEARCH("rente",LOWER(Customers_0!C468&amp;Customers_0!D468)))),
   "INACTIVE",
   "ACTIVE")</f>
        <v>ACTIVE</v>
      </c>
      <c r="O468" t="str">
        <f t="shared" si="31"/>
        <v>OK</v>
      </c>
    </row>
    <row r="469" spans="1:15" x14ac:dyDescent="0.2">
      <c r="A469">
        <f>Customers_0!A469</f>
        <v>21027</v>
      </c>
      <c r="B469" t="str">
        <f>IFERROR(MID(Customers_0!B469,1,SEARCH(",",Customers_0!B469)-1),Customers_0!B469)</f>
        <v>Dr. Schmieder</v>
      </c>
      <c r="C469" t="str">
        <f t="shared" si="28"/>
        <v>Dr.</v>
      </c>
      <c r="D469" t="str">
        <f t="shared" si="29"/>
        <v/>
      </c>
      <c r="E469" t="str">
        <f t="shared" si="30"/>
        <v>Schmieder</v>
      </c>
      <c r="N469" t="str">
        <f>IF(OR(ISNUMBER(SEARCH("weg",[1]Tabelle1!C469&amp;Customers_0!D469)),
          ISNUMBER(SEARCH("gekündigt",Customers_0!C469&amp;Customers_0!D469)),
          ISNUMBER(SEARCH("rente",LOWER(Customers_0!C469&amp;Customers_0!D469)))),
   "INACTIVE",
   "ACTIVE")</f>
        <v>ACTIVE</v>
      </c>
      <c r="O469" t="str">
        <f t="shared" si="31"/>
        <v>OK</v>
      </c>
    </row>
    <row r="470" spans="1:15" x14ac:dyDescent="0.2">
      <c r="A470">
        <f>Customers_0!A470</f>
        <v>21028</v>
      </c>
      <c r="B470" t="str">
        <f>IFERROR(MID(Customers_0!B470,1,SEARCH(",",Customers_0!B470)-1),Customers_0!B470)</f>
        <v>Dr. Metzler</v>
      </c>
      <c r="C470" t="str">
        <f t="shared" si="28"/>
        <v>Dr.</v>
      </c>
      <c r="D470" t="str">
        <f t="shared" si="29"/>
        <v/>
      </c>
      <c r="E470" t="str">
        <f t="shared" si="30"/>
        <v>Metzler</v>
      </c>
      <c r="N470" t="str">
        <f>IF(OR(ISNUMBER(SEARCH("weg",[1]Tabelle1!C470&amp;Customers_0!D470)),
          ISNUMBER(SEARCH("gekündigt",Customers_0!C470&amp;Customers_0!D470)),
          ISNUMBER(SEARCH("rente",LOWER(Customers_0!C470&amp;Customers_0!D470)))),
   "INACTIVE",
   "ACTIVE")</f>
        <v>ACTIVE</v>
      </c>
      <c r="O470" t="str">
        <f t="shared" si="31"/>
        <v>OK</v>
      </c>
    </row>
    <row r="471" spans="1:15" x14ac:dyDescent="0.2">
      <c r="A471">
        <f>Customers_0!A471</f>
        <v>21029</v>
      </c>
      <c r="B471" t="str">
        <f>IFERROR(MID(Customers_0!B471,1,SEARCH(",",Customers_0!B471)-1),Customers_0!B471)</f>
        <v>Dr. Ludwig</v>
      </c>
      <c r="C471" t="str">
        <f t="shared" si="28"/>
        <v>Dr.</v>
      </c>
      <c r="D471" t="str">
        <f t="shared" si="29"/>
        <v/>
      </c>
      <c r="E471" t="str">
        <f t="shared" si="30"/>
        <v>Ludwig</v>
      </c>
      <c r="N471" t="str">
        <f>IF(OR(ISNUMBER(SEARCH("weg",[1]Tabelle1!C471&amp;Customers_0!D471)),
          ISNUMBER(SEARCH("gekündigt",Customers_0!C471&amp;Customers_0!D471)),
          ISNUMBER(SEARCH("rente",LOWER(Customers_0!C471&amp;Customers_0!D471)))),
   "INACTIVE",
   "ACTIVE")</f>
        <v>ACTIVE</v>
      </c>
      <c r="O471" t="str">
        <f t="shared" si="31"/>
        <v>OK</v>
      </c>
    </row>
    <row r="472" spans="1:15" x14ac:dyDescent="0.2">
      <c r="A472">
        <f>Customers_0!A472</f>
        <v>21030</v>
      </c>
      <c r="B472" t="str">
        <f>IFERROR(MID(Customers_0!B472,1,SEARCH(",",Customers_0!B472)-1),Customers_0!B472)</f>
        <v>Dr. Elßner</v>
      </c>
      <c r="C472" t="str">
        <f t="shared" si="28"/>
        <v>Dr.</v>
      </c>
      <c r="D472" t="str">
        <f t="shared" si="29"/>
        <v/>
      </c>
      <c r="E472" t="str">
        <f t="shared" si="30"/>
        <v>Elßner</v>
      </c>
      <c r="N472" t="str">
        <f>IF(OR(ISNUMBER(SEARCH("weg",[1]Tabelle1!C472&amp;Customers_0!D472)),
          ISNUMBER(SEARCH("gekündigt",Customers_0!C472&amp;Customers_0!D472)),
          ISNUMBER(SEARCH("rente",LOWER(Customers_0!C472&amp;Customers_0!D472)))),
   "INACTIVE",
   "ACTIVE")</f>
        <v>ACTIVE</v>
      </c>
      <c r="O472" t="str">
        <f t="shared" si="31"/>
        <v>OK</v>
      </c>
    </row>
    <row r="473" spans="1:15" x14ac:dyDescent="0.2">
      <c r="A473">
        <f>Customers_0!A473</f>
        <v>21031</v>
      </c>
      <c r="B473" t="str">
        <f>IFERROR(MID(Customers_0!B473,1,SEARCH(",",Customers_0!B473)-1),Customers_0!B473)</f>
        <v>Buderer MVZ</v>
      </c>
      <c r="C473" t="str">
        <f t="shared" si="28"/>
        <v/>
      </c>
      <c r="D473" t="str">
        <f t="shared" si="29"/>
        <v/>
      </c>
      <c r="E473" t="str">
        <f t="shared" si="30"/>
        <v>Buderer MVZ</v>
      </c>
      <c r="N473" t="str">
        <f>IF(OR(ISNUMBER(SEARCH("weg",[1]Tabelle1!C473&amp;Customers_0!D473)),
          ISNUMBER(SEARCH("gekündigt",Customers_0!C473&amp;Customers_0!D473)),
          ISNUMBER(SEARCH("rente",LOWER(Customers_0!C473&amp;Customers_0!D473)))),
   "INACTIVE",
   "ACTIVE")</f>
        <v>ACTIVE</v>
      </c>
      <c r="O473" t="str">
        <f t="shared" si="31"/>
        <v>OK</v>
      </c>
    </row>
    <row r="474" spans="1:15" x14ac:dyDescent="0.2">
      <c r="A474">
        <f>Customers_0!A474</f>
        <v>205621</v>
      </c>
      <c r="B474" t="str">
        <f>IFERROR(MID(Customers_0!B474,1,SEARCH(",",Customers_0!B474)-1),Customers_0!B474)</f>
        <v>Dr. B. Roshop</v>
      </c>
      <c r="C474" t="str">
        <f t="shared" si="28"/>
        <v>Dr.</v>
      </c>
      <c r="D474" t="str">
        <f t="shared" si="29"/>
        <v>B.</v>
      </c>
      <c r="E474" t="str">
        <f t="shared" si="30"/>
        <v>Roshop</v>
      </c>
      <c r="N474" t="str">
        <f>IF(OR(ISNUMBER(SEARCH("weg",[1]Tabelle1!C474&amp;Customers_0!D474)),
          ISNUMBER(SEARCH("gekündigt",Customers_0!C474&amp;Customers_0!D474)),
          ISNUMBER(SEARCH("rente",LOWER(Customers_0!C474&amp;Customers_0!D474)))),
   "INACTIVE",
   "ACTIVE")</f>
        <v>ACTIVE</v>
      </c>
      <c r="O474" t="str">
        <f t="shared" si="31"/>
        <v>OK</v>
      </c>
    </row>
    <row r="475" spans="1:15" x14ac:dyDescent="0.2">
      <c r="A475">
        <f>Customers_0!A475</f>
        <v>208091</v>
      </c>
      <c r="B475" t="str">
        <f>IFERROR(MID(Customers_0!B475,1,SEARCH(",",Customers_0!B475)-1),Customers_0!B475)</f>
        <v>Hebeiß</v>
      </c>
      <c r="C475" t="str">
        <f t="shared" si="28"/>
        <v/>
      </c>
      <c r="D475" t="str">
        <f t="shared" si="29"/>
        <v/>
      </c>
      <c r="E475" t="str">
        <f t="shared" si="30"/>
        <v>Hebeiß</v>
      </c>
      <c r="N475" t="str">
        <f>IF(OR(ISNUMBER(SEARCH("weg",[1]Tabelle1!C475&amp;Customers_0!D475)),
          ISNUMBER(SEARCH("gekündigt",Customers_0!C475&amp;Customers_0!D475)),
          ISNUMBER(SEARCH("rente",LOWER(Customers_0!C475&amp;Customers_0!D475)))),
   "INACTIVE",
   "ACTIVE")</f>
        <v>ACTIVE</v>
      </c>
      <c r="O475" t="str">
        <f t="shared" si="31"/>
        <v>OK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Customers_0</vt:lpstr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H.Böttger</dc:creator>
  <cp:lastModifiedBy>Sebastian Böttger</cp:lastModifiedBy>
  <dcterms:created xsi:type="dcterms:W3CDTF">2013-09-28T04:13:01Z</dcterms:created>
  <dcterms:modified xsi:type="dcterms:W3CDTF">2025-12-14T17:08:19Z</dcterms:modified>
</cp:coreProperties>
</file>